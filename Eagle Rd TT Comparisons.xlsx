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ansen\Documents\Python\Inrix\"/>
    </mc:Choice>
  </mc:AlternateContent>
  <xr:revisionPtr revIDLastSave="0" documentId="13_ncr:1_{E89AC0C1-F98E-47C6-BEEF-DCBEB5118EAC}" xr6:coauthVersionLast="47" xr6:coauthVersionMax="47" xr10:uidLastSave="{00000000-0000-0000-0000-000000000000}"/>
  <bookViews>
    <workbookView xWindow="-13665" yWindow="-16320" windowWidth="29040" windowHeight="15720" activeTab="5" xr2:uid="{AFA6BBE5-B9CE-4EEF-8780-C623142A7975}"/>
  </bookViews>
  <sheets>
    <sheet name="t-test-jan24-jan25" sheetId="1" r:id="rId1"/>
    <sheet name="t-test-sep24-nov24" sheetId="2" r:id="rId2"/>
    <sheet name="t-test-sep24-aug25" sheetId="3" r:id="rId3"/>
    <sheet name="t-test-may25-jul25" sheetId="4" r:id="rId4"/>
    <sheet name="t-test-apr25-aug25" sheetId="6" r:id="rId5"/>
    <sheet name="t-test-apr23-aug23-sat-sun" sheetId="7" r:id="rId6"/>
    <sheet name="t-test-aprmay23-augsep23-sat-su" sheetId="8" r:id="rId7"/>
  </sheets>
  <externalReferences>
    <externalReference r:id="rId8"/>
  </externalReferences>
  <definedNames>
    <definedName name="_xlnm._FilterDatabase" localSheetId="5" hidden="1">'t-test-apr23-aug23-sat-sun'!$A$1:$H$286</definedName>
    <definedName name="_xlnm._FilterDatabase" localSheetId="4" hidden="1">'t-test-apr25-aug25'!$A$1:$H$209</definedName>
    <definedName name="_xlnm._FilterDatabase" localSheetId="6" hidden="1">'t-test-aprmay23-augsep23-sat-su'!$A$1:$H$406</definedName>
    <definedName name="_xlnm._FilterDatabase" localSheetId="0" hidden="1">'t-test-jan24-jan25'!$A$1:$H$516</definedName>
    <definedName name="_xlnm._FilterDatabase" localSheetId="3" hidden="1">'t-test-may25-jul25'!$A$1:$H$1</definedName>
    <definedName name="_xlnm._FilterDatabase" localSheetId="2" hidden="1">'t-test-sep24-aug25'!$A$1:$H$516</definedName>
    <definedName name="_xlnm._FilterDatabase" localSheetId="1" hidden="1">'t-test-sep24-nov24'!$A$1:$H$516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4" i="8" l="1"/>
  <c r="H204" i="8"/>
  <c r="G251" i="8"/>
  <c r="H251" i="8"/>
  <c r="G3" i="8"/>
  <c r="H3" i="8"/>
  <c r="G101" i="8"/>
  <c r="H101" i="8"/>
  <c r="G153" i="8"/>
  <c r="H153" i="8"/>
  <c r="G205" i="8"/>
  <c r="H205" i="8"/>
  <c r="G252" i="8"/>
  <c r="H252" i="8"/>
  <c r="G4" i="8"/>
  <c r="H4" i="8"/>
  <c r="G102" i="8"/>
  <c r="H102" i="8"/>
  <c r="G154" i="8"/>
  <c r="H154" i="8"/>
  <c r="G253" i="8"/>
  <c r="H253" i="8"/>
  <c r="G5" i="8"/>
  <c r="H5" i="8"/>
  <c r="G103" i="8"/>
  <c r="H103" i="8"/>
  <c r="G155" i="8"/>
  <c r="H155" i="8"/>
  <c r="G206" i="8"/>
  <c r="H206" i="8"/>
  <c r="G254" i="8"/>
  <c r="H254" i="8"/>
  <c r="G6" i="8"/>
  <c r="H6" i="8"/>
  <c r="G55" i="8"/>
  <c r="H55" i="8"/>
  <c r="G104" i="8"/>
  <c r="H104" i="8"/>
  <c r="G156" i="8"/>
  <c r="H156" i="8"/>
  <c r="G207" i="8"/>
  <c r="H207" i="8"/>
  <c r="G255" i="8"/>
  <c r="H255" i="8"/>
  <c r="G7" i="8"/>
  <c r="H7" i="8"/>
  <c r="G56" i="8"/>
  <c r="H56" i="8"/>
  <c r="G105" i="8"/>
  <c r="H105" i="8"/>
  <c r="G157" i="8"/>
  <c r="H157" i="8"/>
  <c r="G256" i="8"/>
  <c r="H256" i="8"/>
  <c r="G8" i="8"/>
  <c r="H8" i="8"/>
  <c r="G57" i="8"/>
  <c r="H57" i="8"/>
  <c r="G106" i="8"/>
  <c r="H106" i="8"/>
  <c r="G158" i="8"/>
  <c r="H158" i="8"/>
  <c r="G208" i="8"/>
  <c r="H208" i="8"/>
  <c r="G257" i="8"/>
  <c r="H257" i="8"/>
  <c r="G9" i="8"/>
  <c r="H9" i="8"/>
  <c r="G58" i="8"/>
  <c r="H58" i="8"/>
  <c r="G107" i="8"/>
  <c r="H107" i="8"/>
  <c r="G159" i="8"/>
  <c r="H159" i="8"/>
  <c r="G258" i="8"/>
  <c r="H258" i="8"/>
  <c r="G10" i="8"/>
  <c r="H10" i="8"/>
  <c r="G59" i="8"/>
  <c r="H59" i="8"/>
  <c r="G108" i="8"/>
  <c r="H108" i="8"/>
  <c r="G160" i="8"/>
  <c r="H160" i="8"/>
  <c r="G209" i="8"/>
  <c r="H209" i="8"/>
  <c r="G259" i="8"/>
  <c r="H259" i="8"/>
  <c r="G11" i="8"/>
  <c r="H11" i="8"/>
  <c r="G60" i="8"/>
  <c r="H60" i="8"/>
  <c r="G109" i="8"/>
  <c r="H109" i="8"/>
  <c r="G161" i="8"/>
  <c r="H161" i="8"/>
  <c r="G210" i="8"/>
  <c r="H210" i="8"/>
  <c r="G260" i="8"/>
  <c r="H260" i="8"/>
  <c r="G12" i="8"/>
  <c r="H12" i="8"/>
  <c r="G61" i="8"/>
  <c r="H61" i="8"/>
  <c r="G110" i="8"/>
  <c r="H110" i="8"/>
  <c r="G162" i="8"/>
  <c r="H162" i="8"/>
  <c r="G211" i="8"/>
  <c r="H211" i="8"/>
  <c r="G261" i="8"/>
  <c r="H261" i="8"/>
  <c r="G13" i="8"/>
  <c r="H13" i="8"/>
  <c r="G111" i="8"/>
  <c r="H111" i="8"/>
  <c r="G163" i="8"/>
  <c r="H163" i="8"/>
  <c r="G212" i="8"/>
  <c r="H212" i="8"/>
  <c r="G262" i="8"/>
  <c r="H262" i="8"/>
  <c r="G14" i="8"/>
  <c r="H14" i="8"/>
  <c r="G62" i="8"/>
  <c r="H62" i="8"/>
  <c r="G112" i="8"/>
  <c r="H112" i="8"/>
  <c r="G164" i="8"/>
  <c r="H164" i="8"/>
  <c r="G213" i="8"/>
  <c r="H213" i="8"/>
  <c r="G263" i="8"/>
  <c r="H263" i="8"/>
  <c r="G15" i="8"/>
  <c r="H15" i="8"/>
  <c r="G63" i="8"/>
  <c r="H63" i="8"/>
  <c r="G113" i="8"/>
  <c r="H113" i="8"/>
  <c r="G165" i="8"/>
  <c r="H165" i="8"/>
  <c r="G214" i="8"/>
  <c r="H214" i="8"/>
  <c r="G264" i="8"/>
  <c r="H264" i="8"/>
  <c r="G16" i="8"/>
  <c r="H16" i="8"/>
  <c r="G64" i="8"/>
  <c r="H64" i="8"/>
  <c r="G114" i="8"/>
  <c r="H114" i="8"/>
  <c r="G166" i="8"/>
  <c r="H166" i="8"/>
  <c r="G215" i="8"/>
  <c r="H215" i="8"/>
  <c r="G265" i="8"/>
  <c r="H265" i="8"/>
  <c r="G17" i="8"/>
  <c r="H17" i="8"/>
  <c r="G65" i="8"/>
  <c r="H65" i="8"/>
  <c r="G115" i="8"/>
  <c r="H115" i="8"/>
  <c r="G167" i="8"/>
  <c r="H167" i="8"/>
  <c r="G216" i="8"/>
  <c r="H216" i="8"/>
  <c r="G266" i="8"/>
  <c r="H266" i="8"/>
  <c r="G18" i="8"/>
  <c r="H18" i="8"/>
  <c r="G66" i="8"/>
  <c r="H66" i="8"/>
  <c r="G116" i="8"/>
  <c r="H116" i="8"/>
  <c r="G168" i="8"/>
  <c r="H168" i="8"/>
  <c r="G217" i="8"/>
  <c r="H217" i="8"/>
  <c r="G267" i="8"/>
  <c r="H267" i="8"/>
  <c r="G19" i="8"/>
  <c r="H19" i="8"/>
  <c r="G67" i="8"/>
  <c r="H67" i="8"/>
  <c r="G117" i="8"/>
  <c r="H117" i="8"/>
  <c r="G169" i="8"/>
  <c r="H169" i="8"/>
  <c r="G218" i="8"/>
  <c r="H218" i="8"/>
  <c r="G268" i="8"/>
  <c r="H268" i="8"/>
  <c r="G20" i="8"/>
  <c r="H20" i="8"/>
  <c r="G68" i="8"/>
  <c r="H68" i="8"/>
  <c r="G118" i="8"/>
  <c r="H118" i="8"/>
  <c r="G170" i="8"/>
  <c r="H170" i="8"/>
  <c r="G219" i="8"/>
  <c r="H219" i="8"/>
  <c r="G269" i="8"/>
  <c r="H269" i="8"/>
  <c r="G21" i="8"/>
  <c r="H21" i="8"/>
  <c r="G69" i="8"/>
  <c r="H69" i="8"/>
  <c r="G119" i="8"/>
  <c r="H119" i="8"/>
  <c r="G171" i="8"/>
  <c r="H171" i="8"/>
  <c r="G220" i="8"/>
  <c r="H220" i="8"/>
  <c r="G270" i="8"/>
  <c r="H270" i="8"/>
  <c r="G22" i="8"/>
  <c r="H22" i="8"/>
  <c r="G70" i="8"/>
  <c r="H70" i="8"/>
  <c r="G120" i="8"/>
  <c r="H120" i="8"/>
  <c r="G172" i="8"/>
  <c r="H172" i="8"/>
  <c r="G221" i="8"/>
  <c r="H221" i="8"/>
  <c r="G271" i="8"/>
  <c r="H271" i="8"/>
  <c r="G23" i="8"/>
  <c r="H23" i="8"/>
  <c r="G71" i="8"/>
  <c r="H71" i="8"/>
  <c r="G121" i="8"/>
  <c r="H121" i="8"/>
  <c r="G173" i="8"/>
  <c r="H173" i="8"/>
  <c r="G222" i="8"/>
  <c r="H222" i="8"/>
  <c r="G272" i="8"/>
  <c r="H272" i="8"/>
  <c r="G24" i="8"/>
  <c r="H24" i="8"/>
  <c r="G72" i="8"/>
  <c r="H72" i="8"/>
  <c r="G122" i="8"/>
  <c r="H122" i="8"/>
  <c r="G174" i="8"/>
  <c r="H174" i="8"/>
  <c r="G223" i="8"/>
  <c r="H223" i="8"/>
  <c r="G273" i="8"/>
  <c r="H273" i="8"/>
  <c r="G25" i="8"/>
  <c r="H25" i="8"/>
  <c r="G73" i="8"/>
  <c r="H73" i="8"/>
  <c r="G123" i="8"/>
  <c r="H123" i="8"/>
  <c r="G175" i="8"/>
  <c r="H175" i="8"/>
  <c r="G224" i="8"/>
  <c r="H224" i="8"/>
  <c r="G274" i="8"/>
  <c r="H274" i="8"/>
  <c r="G26" i="8"/>
  <c r="H26" i="8"/>
  <c r="G74" i="8"/>
  <c r="H74" i="8"/>
  <c r="G124" i="8"/>
  <c r="H124" i="8"/>
  <c r="G176" i="8"/>
  <c r="H176" i="8"/>
  <c r="G225" i="8"/>
  <c r="H225" i="8"/>
  <c r="G275" i="8"/>
  <c r="H275" i="8"/>
  <c r="G27" i="8"/>
  <c r="H27" i="8"/>
  <c r="G75" i="8"/>
  <c r="H75" i="8"/>
  <c r="G125" i="8"/>
  <c r="H125" i="8"/>
  <c r="G177" i="8"/>
  <c r="H177" i="8"/>
  <c r="G226" i="8"/>
  <c r="H226" i="8"/>
  <c r="G276" i="8"/>
  <c r="H276" i="8"/>
  <c r="G28" i="8"/>
  <c r="H28" i="8"/>
  <c r="G126" i="8"/>
  <c r="H126" i="8"/>
  <c r="G178" i="8"/>
  <c r="H178" i="8"/>
  <c r="G227" i="8"/>
  <c r="H227" i="8"/>
  <c r="G277" i="8"/>
  <c r="H277" i="8"/>
  <c r="G29" i="8"/>
  <c r="H29" i="8"/>
  <c r="G127" i="8"/>
  <c r="H127" i="8"/>
  <c r="G179" i="8"/>
  <c r="H179" i="8"/>
  <c r="G228" i="8"/>
  <c r="H228" i="8"/>
  <c r="G278" i="8"/>
  <c r="H278" i="8"/>
  <c r="G30" i="8"/>
  <c r="H30" i="8"/>
  <c r="G76" i="8"/>
  <c r="H76" i="8"/>
  <c r="G128" i="8"/>
  <c r="H128" i="8"/>
  <c r="G180" i="8"/>
  <c r="H180" i="8"/>
  <c r="G279" i="8"/>
  <c r="H279" i="8"/>
  <c r="G31" i="8"/>
  <c r="H31" i="8"/>
  <c r="G77" i="8"/>
  <c r="H77" i="8"/>
  <c r="G129" i="8"/>
  <c r="H129" i="8"/>
  <c r="G181" i="8"/>
  <c r="H181" i="8"/>
  <c r="G280" i="8"/>
  <c r="H280" i="8"/>
  <c r="G32" i="8"/>
  <c r="H32" i="8"/>
  <c r="G78" i="8"/>
  <c r="H78" i="8"/>
  <c r="G130" i="8"/>
  <c r="H130" i="8"/>
  <c r="G182" i="8"/>
  <c r="H182" i="8"/>
  <c r="G229" i="8"/>
  <c r="H229" i="8"/>
  <c r="G281" i="8"/>
  <c r="H281" i="8"/>
  <c r="G33" i="8"/>
  <c r="H33" i="8"/>
  <c r="G79" i="8"/>
  <c r="H79" i="8"/>
  <c r="G131" i="8"/>
  <c r="H131" i="8"/>
  <c r="G183" i="8"/>
  <c r="H183" i="8"/>
  <c r="G230" i="8"/>
  <c r="H230" i="8"/>
  <c r="G282" i="8"/>
  <c r="H282" i="8"/>
  <c r="G34" i="8"/>
  <c r="H34" i="8"/>
  <c r="G80" i="8"/>
  <c r="H80" i="8"/>
  <c r="G132" i="8"/>
  <c r="H132" i="8"/>
  <c r="G184" i="8"/>
  <c r="H184" i="8"/>
  <c r="G231" i="8"/>
  <c r="H231" i="8"/>
  <c r="G283" i="8"/>
  <c r="H283" i="8"/>
  <c r="G35" i="8"/>
  <c r="H35" i="8"/>
  <c r="G81" i="8"/>
  <c r="H81" i="8"/>
  <c r="G133" i="8"/>
  <c r="H133" i="8"/>
  <c r="G185" i="8"/>
  <c r="H185" i="8"/>
  <c r="G232" i="8"/>
  <c r="H232" i="8"/>
  <c r="G284" i="8"/>
  <c r="H284" i="8"/>
  <c r="G36" i="8"/>
  <c r="H36" i="8"/>
  <c r="G82" i="8"/>
  <c r="H82" i="8"/>
  <c r="G134" i="8"/>
  <c r="H134" i="8"/>
  <c r="G186" i="8"/>
  <c r="H186" i="8"/>
  <c r="G233" i="8"/>
  <c r="H233" i="8"/>
  <c r="G285" i="8"/>
  <c r="H285" i="8"/>
  <c r="G37" i="8"/>
  <c r="H37" i="8"/>
  <c r="G83" i="8"/>
  <c r="H83" i="8"/>
  <c r="G135" i="8"/>
  <c r="H135" i="8"/>
  <c r="G187" i="8"/>
  <c r="H187" i="8"/>
  <c r="G234" i="8"/>
  <c r="H234" i="8"/>
  <c r="G286" i="8"/>
  <c r="H286" i="8"/>
  <c r="G38" i="8"/>
  <c r="H38" i="8"/>
  <c r="G84" i="8"/>
  <c r="H84" i="8"/>
  <c r="G136" i="8"/>
  <c r="H136" i="8"/>
  <c r="G188" i="8"/>
  <c r="H188" i="8"/>
  <c r="G235" i="8"/>
  <c r="H235" i="8"/>
  <c r="G287" i="8"/>
  <c r="H287" i="8"/>
  <c r="G39" i="8"/>
  <c r="H39" i="8"/>
  <c r="G85" i="8"/>
  <c r="H85" i="8"/>
  <c r="G137" i="8"/>
  <c r="H137" i="8"/>
  <c r="G189" i="8"/>
  <c r="H189" i="8"/>
  <c r="G236" i="8"/>
  <c r="H236" i="8"/>
  <c r="G288" i="8"/>
  <c r="H288" i="8"/>
  <c r="G40" i="8"/>
  <c r="H40" i="8"/>
  <c r="G86" i="8"/>
  <c r="H86" i="8"/>
  <c r="G138" i="8"/>
  <c r="H138" i="8"/>
  <c r="G190" i="8"/>
  <c r="H190" i="8"/>
  <c r="G237" i="8"/>
  <c r="H237" i="8"/>
  <c r="G289" i="8"/>
  <c r="H289" i="8"/>
  <c r="G41" i="8"/>
  <c r="H41" i="8"/>
  <c r="G87" i="8"/>
  <c r="H87" i="8"/>
  <c r="G139" i="8"/>
  <c r="H139" i="8"/>
  <c r="G191" i="8"/>
  <c r="H191" i="8"/>
  <c r="G238" i="8"/>
  <c r="H238" i="8"/>
  <c r="G290" i="8"/>
  <c r="H290" i="8"/>
  <c r="G42" i="8"/>
  <c r="H42" i="8"/>
  <c r="G88" i="8"/>
  <c r="H88" i="8"/>
  <c r="G140" i="8"/>
  <c r="H140" i="8"/>
  <c r="G192" i="8"/>
  <c r="H192" i="8"/>
  <c r="G239" i="8"/>
  <c r="H239" i="8"/>
  <c r="G291" i="8"/>
  <c r="H291" i="8"/>
  <c r="G43" i="8"/>
  <c r="H43" i="8"/>
  <c r="G89" i="8"/>
  <c r="H89" i="8"/>
  <c r="G141" i="8"/>
  <c r="H141" i="8"/>
  <c r="G193" i="8"/>
  <c r="H193" i="8"/>
  <c r="G240" i="8"/>
  <c r="H240" i="8"/>
  <c r="G292" i="8"/>
  <c r="H292" i="8"/>
  <c r="G44" i="8"/>
  <c r="H44" i="8"/>
  <c r="G90" i="8"/>
  <c r="H90" i="8"/>
  <c r="G142" i="8"/>
  <c r="H142" i="8"/>
  <c r="G194" i="8"/>
  <c r="H194" i="8"/>
  <c r="G241" i="8"/>
  <c r="H241" i="8"/>
  <c r="G293" i="8"/>
  <c r="H293" i="8"/>
  <c r="G45" i="8"/>
  <c r="H45" i="8"/>
  <c r="G91" i="8"/>
  <c r="H91" i="8"/>
  <c r="G143" i="8"/>
  <c r="H143" i="8"/>
  <c r="G195" i="8"/>
  <c r="H195" i="8"/>
  <c r="G242" i="8"/>
  <c r="H242" i="8"/>
  <c r="G294" i="8"/>
  <c r="H294" i="8"/>
  <c r="G46" i="8"/>
  <c r="H46" i="8"/>
  <c r="G92" i="8"/>
  <c r="H92" i="8"/>
  <c r="G144" i="8"/>
  <c r="H144" i="8"/>
  <c r="G196" i="8"/>
  <c r="H196" i="8"/>
  <c r="G243" i="8"/>
  <c r="H243" i="8"/>
  <c r="G295" i="8"/>
  <c r="H295" i="8"/>
  <c r="G47" i="8"/>
  <c r="H47" i="8"/>
  <c r="G93" i="8"/>
  <c r="H93" i="8"/>
  <c r="G145" i="8"/>
  <c r="H145" i="8"/>
  <c r="G197" i="8"/>
  <c r="H197" i="8"/>
  <c r="G244" i="8"/>
  <c r="H244" i="8"/>
  <c r="G296" i="8"/>
  <c r="H296" i="8"/>
  <c r="G48" i="8"/>
  <c r="H48" i="8"/>
  <c r="G94" i="8"/>
  <c r="H94" i="8"/>
  <c r="G146" i="8"/>
  <c r="H146" i="8"/>
  <c r="G198" i="8"/>
  <c r="H198" i="8"/>
  <c r="G245" i="8"/>
  <c r="H245" i="8"/>
  <c r="G297" i="8"/>
  <c r="H297" i="8"/>
  <c r="G49" i="8"/>
  <c r="H49" i="8"/>
  <c r="G95" i="8"/>
  <c r="H95" i="8"/>
  <c r="G147" i="8"/>
  <c r="H147" i="8"/>
  <c r="G199" i="8"/>
  <c r="H199" i="8"/>
  <c r="G246" i="8"/>
  <c r="H246" i="8"/>
  <c r="G298" i="8"/>
  <c r="H298" i="8"/>
  <c r="G50" i="8"/>
  <c r="H50" i="8"/>
  <c r="G96" i="8"/>
  <c r="H96" i="8"/>
  <c r="G148" i="8"/>
  <c r="H148" i="8"/>
  <c r="G200" i="8"/>
  <c r="H200" i="8"/>
  <c r="G247" i="8"/>
  <c r="H247" i="8"/>
  <c r="G299" i="8"/>
  <c r="H299" i="8"/>
  <c r="G51" i="8"/>
  <c r="H51" i="8"/>
  <c r="G97" i="8"/>
  <c r="H97" i="8"/>
  <c r="G149" i="8"/>
  <c r="H149" i="8"/>
  <c r="G201" i="8"/>
  <c r="H201" i="8"/>
  <c r="G248" i="8"/>
  <c r="H248" i="8"/>
  <c r="G300" i="8"/>
  <c r="H300" i="8"/>
  <c r="G52" i="8"/>
  <c r="H52" i="8"/>
  <c r="G98" i="8"/>
  <c r="H98" i="8"/>
  <c r="G150" i="8"/>
  <c r="H150" i="8"/>
  <c r="G202" i="8"/>
  <c r="H202" i="8"/>
  <c r="G249" i="8"/>
  <c r="H249" i="8"/>
  <c r="G301" i="8"/>
  <c r="H301" i="8"/>
  <c r="G53" i="8"/>
  <c r="H53" i="8"/>
  <c r="G99" i="8"/>
  <c r="H99" i="8"/>
  <c r="G151" i="8"/>
  <c r="H151" i="8"/>
  <c r="G203" i="8"/>
  <c r="H203" i="8"/>
  <c r="G250" i="8"/>
  <c r="H250" i="8"/>
  <c r="G302" i="8"/>
  <c r="H302" i="8"/>
  <c r="H152" i="8"/>
  <c r="G152" i="8"/>
  <c r="H100" i="8"/>
  <c r="G100" i="8"/>
  <c r="H54" i="8"/>
  <c r="G54" i="8"/>
  <c r="H2" i="8"/>
  <c r="G2" i="8"/>
  <c r="G260" i="7"/>
  <c r="H260" i="7"/>
  <c r="G197" i="7"/>
  <c r="H197" i="7"/>
  <c r="G179" i="7"/>
  <c r="H179" i="7"/>
  <c r="G214" i="7"/>
  <c r="H214" i="7"/>
  <c r="G207" i="7"/>
  <c r="H207" i="7"/>
  <c r="G4" i="7"/>
  <c r="H4" i="7"/>
  <c r="G170" i="7"/>
  <c r="H170" i="7"/>
  <c r="G24" i="7"/>
  <c r="H24" i="7"/>
  <c r="G25" i="7"/>
  <c r="H25" i="7"/>
  <c r="G30" i="7"/>
  <c r="H30" i="7"/>
  <c r="G39" i="7"/>
  <c r="H39" i="7"/>
  <c r="G169" i="7"/>
  <c r="H169" i="7"/>
  <c r="G153" i="7"/>
  <c r="H153" i="7"/>
  <c r="G212" i="7"/>
  <c r="H212" i="7"/>
  <c r="G247" i="7"/>
  <c r="H247" i="7"/>
  <c r="G52" i="7"/>
  <c r="H52" i="7"/>
  <c r="G94" i="7"/>
  <c r="H94" i="7"/>
  <c r="G97" i="7"/>
  <c r="H97" i="7"/>
  <c r="G275" i="7"/>
  <c r="H275" i="7"/>
  <c r="G268" i="7"/>
  <c r="H268" i="7"/>
  <c r="G70" i="7"/>
  <c r="H70" i="7"/>
  <c r="G44" i="7"/>
  <c r="H44" i="7"/>
  <c r="G180" i="7"/>
  <c r="H180" i="7"/>
  <c r="G128" i="7"/>
  <c r="H128" i="7"/>
  <c r="G174" i="7"/>
  <c r="H174" i="7"/>
  <c r="G285" i="7"/>
  <c r="H285" i="7"/>
  <c r="G257" i="7"/>
  <c r="H257" i="7"/>
  <c r="G269" i="7"/>
  <c r="H269" i="7"/>
  <c r="G219" i="7"/>
  <c r="H219" i="7"/>
  <c r="G132" i="7"/>
  <c r="H132" i="7"/>
  <c r="G84" i="7"/>
  <c r="H84" i="7"/>
  <c r="G102" i="7"/>
  <c r="H102" i="7"/>
  <c r="G77" i="7"/>
  <c r="H77" i="7"/>
  <c r="G101" i="7"/>
  <c r="H101" i="7"/>
  <c r="G34" i="7"/>
  <c r="H34" i="7"/>
  <c r="G62" i="7"/>
  <c r="H62" i="7"/>
  <c r="G113" i="7"/>
  <c r="H113" i="7"/>
  <c r="G55" i="7"/>
  <c r="H55" i="7"/>
  <c r="G59" i="7"/>
  <c r="H59" i="7"/>
  <c r="G119" i="7"/>
  <c r="H119" i="7"/>
  <c r="G120" i="7"/>
  <c r="H120" i="7"/>
  <c r="G115" i="7"/>
  <c r="H115" i="7"/>
  <c r="G145" i="7"/>
  <c r="H145" i="7"/>
  <c r="G33" i="7"/>
  <c r="H33" i="7"/>
  <c r="G181" i="7"/>
  <c r="H181" i="7"/>
  <c r="G133" i="7"/>
  <c r="H133" i="7"/>
  <c r="G40" i="7"/>
  <c r="H40" i="7"/>
  <c r="G172" i="7"/>
  <c r="H172" i="7"/>
  <c r="G177" i="7"/>
  <c r="H177" i="7"/>
  <c r="G157" i="7"/>
  <c r="H157" i="7"/>
  <c r="G53" i="7"/>
  <c r="H53" i="7"/>
  <c r="G192" i="7"/>
  <c r="H192" i="7"/>
  <c r="G7" i="7"/>
  <c r="H7" i="7"/>
  <c r="G22" i="7"/>
  <c r="H22" i="7"/>
  <c r="G253" i="7"/>
  <c r="H253" i="7"/>
  <c r="G19" i="7"/>
  <c r="H19" i="7"/>
  <c r="G142" i="7"/>
  <c r="H142" i="7"/>
  <c r="G250" i="7"/>
  <c r="H250" i="7"/>
  <c r="G66" i="7"/>
  <c r="H66" i="7"/>
  <c r="G163" i="7"/>
  <c r="H163" i="7"/>
  <c r="G191" i="7"/>
  <c r="H191" i="7"/>
  <c r="G196" i="7"/>
  <c r="H196" i="7"/>
  <c r="G152" i="7"/>
  <c r="H152" i="7"/>
  <c r="G283" i="7"/>
  <c r="H283" i="7"/>
  <c r="G108" i="7"/>
  <c r="H108" i="7"/>
  <c r="G139" i="7"/>
  <c r="H139" i="7"/>
  <c r="G208" i="7"/>
  <c r="H208" i="7"/>
  <c r="G242" i="7"/>
  <c r="H242" i="7"/>
  <c r="G175" i="7"/>
  <c r="H175" i="7"/>
  <c r="G215" i="7"/>
  <c r="H215" i="7"/>
  <c r="G211" i="7"/>
  <c r="H211" i="7"/>
  <c r="G220" i="7"/>
  <c r="H220" i="7"/>
  <c r="G252" i="7"/>
  <c r="H252" i="7"/>
  <c r="G226" i="7"/>
  <c r="H226" i="7"/>
  <c r="G65" i="7"/>
  <c r="H65" i="7"/>
  <c r="G60" i="7"/>
  <c r="H60" i="7"/>
  <c r="G104" i="7"/>
  <c r="H104" i="7"/>
  <c r="G143" i="7"/>
  <c r="H143" i="7"/>
  <c r="G127" i="7"/>
  <c r="H127" i="7"/>
  <c r="G64" i="7"/>
  <c r="H64" i="7"/>
  <c r="G87" i="7"/>
  <c r="H87" i="7"/>
  <c r="G165" i="7"/>
  <c r="H165" i="7"/>
  <c r="G164" i="7"/>
  <c r="H164" i="7"/>
  <c r="G262" i="7"/>
  <c r="H262" i="7"/>
  <c r="G109" i="7"/>
  <c r="H109" i="7"/>
  <c r="G122" i="7"/>
  <c r="H122" i="7"/>
  <c r="G54" i="7"/>
  <c r="H54" i="7"/>
  <c r="G89" i="7"/>
  <c r="H89" i="7"/>
  <c r="G130" i="7"/>
  <c r="H130" i="7"/>
  <c r="G144" i="7"/>
  <c r="H144" i="7"/>
  <c r="G105" i="7"/>
  <c r="H105" i="7"/>
  <c r="G8" i="7"/>
  <c r="H8" i="7"/>
  <c r="G48" i="7"/>
  <c r="H48" i="7"/>
  <c r="G74" i="7"/>
  <c r="H74" i="7"/>
  <c r="G151" i="7"/>
  <c r="H151" i="7"/>
  <c r="G271" i="7"/>
  <c r="H271" i="7"/>
  <c r="G225" i="7"/>
  <c r="H225" i="7"/>
  <c r="G3" i="7"/>
  <c r="H3" i="7"/>
  <c r="G118" i="7"/>
  <c r="H118" i="7"/>
  <c r="G37" i="7"/>
  <c r="H37" i="7"/>
  <c r="G56" i="7"/>
  <c r="H56" i="7"/>
  <c r="G270" i="7"/>
  <c r="H270" i="7"/>
  <c r="G261" i="7"/>
  <c r="H261" i="7"/>
  <c r="G10" i="7"/>
  <c r="H10" i="7"/>
  <c r="G202" i="7"/>
  <c r="H202" i="7"/>
  <c r="G31" i="7"/>
  <c r="H31" i="7"/>
  <c r="G135" i="7"/>
  <c r="H135" i="7"/>
  <c r="G217" i="7"/>
  <c r="H217" i="7"/>
  <c r="G194" i="7"/>
  <c r="H194" i="7"/>
  <c r="G42" i="7"/>
  <c r="H42" i="7"/>
  <c r="G63" i="7"/>
  <c r="H63" i="7"/>
  <c r="G47" i="7"/>
  <c r="H47" i="7"/>
  <c r="G239" i="7"/>
  <c r="H239" i="7"/>
  <c r="G131" i="7"/>
  <c r="H131" i="7"/>
  <c r="G188" i="7"/>
  <c r="H188" i="7"/>
  <c r="G136" i="7"/>
  <c r="H136" i="7"/>
  <c r="G29" i="7"/>
  <c r="H29" i="7"/>
  <c r="G218" i="7"/>
  <c r="H218" i="7"/>
  <c r="G193" i="7"/>
  <c r="H193" i="7"/>
  <c r="G167" i="7"/>
  <c r="H167" i="7"/>
  <c r="G150" i="7"/>
  <c r="H150" i="7"/>
  <c r="G200" i="7"/>
  <c r="H200" i="7"/>
  <c r="G45" i="7"/>
  <c r="H45" i="7"/>
  <c r="G224" i="7"/>
  <c r="H224" i="7"/>
  <c r="G263" i="7"/>
  <c r="H263" i="7"/>
  <c r="G125" i="7"/>
  <c r="H125" i="7"/>
  <c r="G199" i="7"/>
  <c r="H199" i="7"/>
  <c r="G9" i="7"/>
  <c r="H9" i="7"/>
  <c r="G36" i="7"/>
  <c r="H36" i="7"/>
  <c r="G43" i="7"/>
  <c r="H43" i="7"/>
  <c r="G228" i="7"/>
  <c r="H228" i="7"/>
  <c r="G86" i="7"/>
  <c r="H86" i="7"/>
  <c r="G100" i="7"/>
  <c r="H100" i="7"/>
  <c r="G243" i="7"/>
  <c r="H243" i="7"/>
  <c r="G46" i="7"/>
  <c r="H46" i="7"/>
  <c r="G110" i="7"/>
  <c r="H110" i="7"/>
  <c r="G41" i="7"/>
  <c r="H41" i="7"/>
  <c r="G69" i="7"/>
  <c r="H69" i="7"/>
  <c r="G149" i="7"/>
  <c r="H149" i="7"/>
  <c r="G129" i="7"/>
  <c r="H129" i="7"/>
  <c r="G178" i="7"/>
  <c r="H178" i="7"/>
  <c r="G91" i="7"/>
  <c r="H91" i="7"/>
  <c r="G107" i="7"/>
  <c r="H107" i="7"/>
  <c r="G114" i="7"/>
  <c r="H114" i="7"/>
  <c r="G111" i="7"/>
  <c r="H111" i="7"/>
  <c r="G106" i="7"/>
  <c r="H106" i="7"/>
  <c r="G98" i="7"/>
  <c r="H98" i="7"/>
  <c r="G205" i="7"/>
  <c r="H205" i="7"/>
  <c r="G186" i="7"/>
  <c r="H186" i="7"/>
  <c r="G184" i="7"/>
  <c r="H184" i="7"/>
  <c r="G75" i="7"/>
  <c r="H75" i="7"/>
  <c r="G154" i="7"/>
  <c r="H154" i="7"/>
  <c r="G73" i="7"/>
  <c r="H73" i="7"/>
  <c r="G80" i="7"/>
  <c r="H80" i="7"/>
  <c r="G138" i="7"/>
  <c r="H138" i="7"/>
  <c r="G82" i="7"/>
  <c r="H82" i="7"/>
  <c r="G222" i="7"/>
  <c r="H222" i="7"/>
  <c r="G148" i="7"/>
  <c r="H148" i="7"/>
  <c r="G235" i="7"/>
  <c r="H235" i="7"/>
  <c r="G278" i="7"/>
  <c r="H278" i="7"/>
  <c r="G286" i="7"/>
  <c r="H286" i="7"/>
  <c r="G168" i="7"/>
  <c r="H168" i="7"/>
  <c r="G229" i="7"/>
  <c r="H229" i="7"/>
  <c r="G258" i="7"/>
  <c r="H258" i="7"/>
  <c r="G279" i="7"/>
  <c r="H279" i="7"/>
  <c r="G236" i="7"/>
  <c r="H236" i="7"/>
  <c r="G2" i="7"/>
  <c r="H2" i="7"/>
  <c r="G35" i="7"/>
  <c r="H35" i="7"/>
  <c r="G16" i="7"/>
  <c r="H16" i="7"/>
  <c r="G277" i="7"/>
  <c r="H277" i="7"/>
  <c r="G117" i="7"/>
  <c r="H117" i="7"/>
  <c r="G265" i="7"/>
  <c r="H265" i="7"/>
  <c r="G58" i="7"/>
  <c r="H58" i="7"/>
  <c r="G201" i="7"/>
  <c r="H201" i="7"/>
  <c r="G187" i="7"/>
  <c r="H187" i="7"/>
  <c r="G206" i="7"/>
  <c r="H206" i="7"/>
  <c r="G232" i="7"/>
  <c r="H232" i="7"/>
  <c r="G18" i="7"/>
  <c r="H18" i="7"/>
  <c r="G61" i="7"/>
  <c r="H61" i="7"/>
  <c r="G95" i="7"/>
  <c r="H95" i="7"/>
  <c r="G5" i="7"/>
  <c r="H5" i="7"/>
  <c r="G83" i="7"/>
  <c r="H83" i="7"/>
  <c r="G185" i="7"/>
  <c r="H185" i="7"/>
  <c r="G85" i="7"/>
  <c r="H85" i="7"/>
  <c r="G72" i="7"/>
  <c r="H72" i="7"/>
  <c r="G17" i="7"/>
  <c r="H17" i="7"/>
  <c r="G156" i="7"/>
  <c r="H156" i="7"/>
  <c r="G57" i="7"/>
  <c r="H57" i="7"/>
  <c r="G234" i="7"/>
  <c r="H234" i="7"/>
  <c r="G267" i="7"/>
  <c r="H267" i="7"/>
  <c r="G231" i="7"/>
  <c r="H231" i="7"/>
  <c r="G281" i="7"/>
  <c r="H281" i="7"/>
  <c r="G256" i="7"/>
  <c r="H256" i="7"/>
  <c r="G176" i="7"/>
  <c r="H176" i="7"/>
  <c r="G92" i="7"/>
  <c r="H92" i="7"/>
  <c r="G230" i="7"/>
  <c r="H230" i="7"/>
  <c r="G280" i="7"/>
  <c r="H280" i="7"/>
  <c r="G223" i="7"/>
  <c r="H223" i="7"/>
  <c r="G49" i="7"/>
  <c r="H49" i="7"/>
  <c r="G146" i="7"/>
  <c r="H146" i="7"/>
  <c r="G166" i="7"/>
  <c r="H166" i="7"/>
  <c r="G182" i="7"/>
  <c r="H182" i="7"/>
  <c r="G244" i="7"/>
  <c r="H244" i="7"/>
  <c r="G227" i="7"/>
  <c r="H227" i="7"/>
  <c r="G121" i="7"/>
  <c r="H121" i="7"/>
  <c r="G141" i="7"/>
  <c r="H141" i="7"/>
  <c r="G159" i="7"/>
  <c r="H159" i="7"/>
  <c r="G116" i="7"/>
  <c r="H116" i="7"/>
  <c r="G171" i="7"/>
  <c r="H171" i="7"/>
  <c r="G96" i="7"/>
  <c r="H96" i="7"/>
  <c r="G15" i="7"/>
  <c r="H15" i="7"/>
  <c r="G93" i="7"/>
  <c r="H93" i="7"/>
  <c r="G274" i="7"/>
  <c r="H274" i="7"/>
  <c r="G273" i="7"/>
  <c r="H273" i="7"/>
  <c r="G221" i="7"/>
  <c r="H221" i="7"/>
  <c r="G254" i="7"/>
  <c r="H254" i="7"/>
  <c r="G11" i="7"/>
  <c r="H11" i="7"/>
  <c r="G246" i="7"/>
  <c r="H246" i="7"/>
  <c r="G276" i="7"/>
  <c r="H276" i="7"/>
  <c r="G38" i="7"/>
  <c r="H38" i="7"/>
  <c r="G248" i="7"/>
  <c r="H248" i="7"/>
  <c r="G26" i="7"/>
  <c r="H26" i="7"/>
  <c r="G160" i="7"/>
  <c r="H160" i="7"/>
  <c r="G112" i="7"/>
  <c r="H112" i="7"/>
  <c r="G241" i="7"/>
  <c r="H241" i="7"/>
  <c r="G249" i="7"/>
  <c r="H249" i="7"/>
  <c r="G213" i="7"/>
  <c r="H213" i="7"/>
  <c r="G123" i="7"/>
  <c r="H123" i="7"/>
  <c r="G90" i="7"/>
  <c r="H90" i="7"/>
  <c r="G210" i="7"/>
  <c r="H210" i="7"/>
  <c r="G264" i="7"/>
  <c r="H264" i="7"/>
  <c r="G245" i="7"/>
  <c r="H245" i="7"/>
  <c r="G251" i="7"/>
  <c r="H251" i="7"/>
  <c r="G23" i="7"/>
  <c r="H23" i="7"/>
  <c r="G67" i="7"/>
  <c r="H67" i="7"/>
  <c r="G71" i="7"/>
  <c r="H71" i="7"/>
  <c r="G88" i="7"/>
  <c r="H88" i="7"/>
  <c r="G32" i="7"/>
  <c r="H32" i="7"/>
  <c r="G99" i="7"/>
  <c r="H99" i="7"/>
  <c r="G6" i="7"/>
  <c r="H6" i="7"/>
  <c r="G204" i="7"/>
  <c r="H204" i="7"/>
  <c r="G79" i="7"/>
  <c r="H79" i="7"/>
  <c r="G12" i="7"/>
  <c r="H12" i="7"/>
  <c r="G50" i="7"/>
  <c r="H50" i="7"/>
  <c r="G198" i="7"/>
  <c r="H198" i="7"/>
  <c r="G27" i="7"/>
  <c r="H27" i="7"/>
  <c r="G282" i="7"/>
  <c r="H282" i="7"/>
  <c r="G81" i="7"/>
  <c r="H81" i="7"/>
  <c r="G190" i="7"/>
  <c r="H190" i="7"/>
  <c r="G233" i="7"/>
  <c r="H233" i="7"/>
  <c r="G140" i="7"/>
  <c r="H140" i="7"/>
  <c r="G255" i="7"/>
  <c r="H255" i="7"/>
  <c r="G21" i="7"/>
  <c r="H21" i="7"/>
  <c r="G155" i="7"/>
  <c r="H155" i="7"/>
  <c r="G216" i="7"/>
  <c r="H216" i="7"/>
  <c r="G103" i="7"/>
  <c r="H103" i="7"/>
  <c r="G173" i="7"/>
  <c r="H173" i="7"/>
  <c r="G28" i="7"/>
  <c r="H28" i="7"/>
  <c r="G126" i="7"/>
  <c r="H126" i="7"/>
  <c r="G76" i="7"/>
  <c r="H76" i="7"/>
  <c r="G14" i="7"/>
  <c r="H14" i="7"/>
  <c r="G124" i="7"/>
  <c r="H124" i="7"/>
  <c r="G78" i="7"/>
  <c r="H78" i="7"/>
  <c r="G51" i="7"/>
  <c r="H51" i="7"/>
  <c r="G209" i="7"/>
  <c r="H209" i="7"/>
  <c r="G147" i="7"/>
  <c r="H147" i="7"/>
  <c r="G161" i="7"/>
  <c r="H161" i="7"/>
  <c r="G20" i="7"/>
  <c r="H20" i="7"/>
  <c r="G183" i="7"/>
  <c r="H183" i="7"/>
  <c r="G13" i="7"/>
  <c r="H13" i="7"/>
  <c r="G284" i="7"/>
  <c r="H284" i="7"/>
  <c r="G203" i="7"/>
  <c r="H203" i="7"/>
  <c r="G238" i="7"/>
  <c r="H238" i="7"/>
  <c r="G272" i="7"/>
  <c r="H272" i="7"/>
  <c r="G195" i="7"/>
  <c r="H195" i="7"/>
  <c r="G162" i="7"/>
  <c r="H162" i="7"/>
  <c r="G68" i="7"/>
  <c r="H68" i="7"/>
  <c r="G137" i="7"/>
  <c r="H137" i="7"/>
  <c r="G259" i="7"/>
  <c r="H259" i="7"/>
  <c r="G240" i="7"/>
  <c r="H240" i="7"/>
  <c r="G189" i="7"/>
  <c r="H189" i="7"/>
  <c r="H237" i="7"/>
  <c r="G237" i="7"/>
  <c r="H134" i="7"/>
  <c r="G134" i="7"/>
  <c r="H266" i="7"/>
  <c r="G266" i="7"/>
  <c r="H158" i="7"/>
  <c r="G158" i="7"/>
  <c r="G144" i="6"/>
  <c r="H144" i="6"/>
  <c r="G2" i="6"/>
  <c r="H2" i="6"/>
  <c r="G140" i="6"/>
  <c r="H140" i="6"/>
  <c r="G96" i="6"/>
  <c r="H96" i="6"/>
  <c r="G155" i="6"/>
  <c r="H155" i="6"/>
  <c r="G159" i="6"/>
  <c r="H159" i="6"/>
  <c r="G108" i="6"/>
  <c r="H108" i="6"/>
  <c r="G113" i="6"/>
  <c r="H113" i="6"/>
  <c r="G74" i="6"/>
  <c r="H74" i="6"/>
  <c r="G11" i="6"/>
  <c r="H11" i="6"/>
  <c r="G127" i="6"/>
  <c r="H127" i="6"/>
  <c r="G13" i="6"/>
  <c r="H13" i="6"/>
  <c r="G72" i="6"/>
  <c r="H72" i="6"/>
  <c r="G82" i="6"/>
  <c r="H82" i="6"/>
  <c r="G80" i="6"/>
  <c r="H80" i="6"/>
  <c r="G171" i="6"/>
  <c r="H171" i="6"/>
  <c r="G83" i="6"/>
  <c r="H83" i="6"/>
  <c r="G149" i="6"/>
  <c r="H149" i="6"/>
  <c r="G53" i="6"/>
  <c r="H53" i="6"/>
  <c r="G50" i="6"/>
  <c r="H50" i="6"/>
  <c r="G95" i="6"/>
  <c r="H95" i="6"/>
  <c r="G4" i="6"/>
  <c r="H4" i="6"/>
  <c r="G19" i="6"/>
  <c r="H19" i="6"/>
  <c r="G16" i="6"/>
  <c r="H16" i="6"/>
  <c r="G58" i="6"/>
  <c r="H58" i="6"/>
  <c r="G92" i="6"/>
  <c r="H92" i="6"/>
  <c r="G86" i="6"/>
  <c r="H86" i="6"/>
  <c r="G89" i="6"/>
  <c r="H89" i="6"/>
  <c r="G30" i="6"/>
  <c r="H30" i="6"/>
  <c r="G68" i="6"/>
  <c r="H68" i="6"/>
  <c r="G49" i="6"/>
  <c r="H49" i="6"/>
  <c r="G126" i="6"/>
  <c r="H126" i="6"/>
  <c r="G23" i="6"/>
  <c r="H23" i="6"/>
  <c r="G55" i="6"/>
  <c r="H55" i="6"/>
  <c r="G110" i="6"/>
  <c r="H110" i="6"/>
  <c r="G62" i="6"/>
  <c r="H62" i="6"/>
  <c r="G146" i="6"/>
  <c r="H146" i="6"/>
  <c r="G100" i="6"/>
  <c r="H100" i="6"/>
  <c r="G135" i="6"/>
  <c r="H135" i="6"/>
  <c r="G26" i="6"/>
  <c r="H26" i="6"/>
  <c r="G178" i="6"/>
  <c r="H178" i="6"/>
  <c r="G185" i="6"/>
  <c r="H185" i="6"/>
  <c r="G156" i="6"/>
  <c r="H156" i="6"/>
  <c r="G28" i="6"/>
  <c r="H28" i="6"/>
  <c r="G181" i="6"/>
  <c r="H181" i="6"/>
  <c r="G52" i="6"/>
  <c r="H52" i="6"/>
  <c r="G189" i="6"/>
  <c r="H189" i="6"/>
  <c r="G128" i="6"/>
  <c r="H128" i="6"/>
  <c r="G184" i="6"/>
  <c r="H184" i="6"/>
  <c r="G145" i="6"/>
  <c r="H145" i="6"/>
  <c r="G195" i="6"/>
  <c r="H195" i="6"/>
  <c r="G169" i="6"/>
  <c r="H169" i="6"/>
  <c r="G200" i="6"/>
  <c r="H200" i="6"/>
  <c r="G165" i="6"/>
  <c r="H165" i="6"/>
  <c r="G204" i="6"/>
  <c r="H204" i="6"/>
  <c r="G180" i="6"/>
  <c r="H180" i="6"/>
  <c r="G125" i="6"/>
  <c r="H125" i="6"/>
  <c r="G9" i="6"/>
  <c r="H9" i="6"/>
  <c r="G142" i="6"/>
  <c r="H142" i="6"/>
  <c r="G7" i="6"/>
  <c r="H7" i="6"/>
  <c r="G98" i="6"/>
  <c r="H98" i="6"/>
  <c r="G163" i="6"/>
  <c r="H163" i="6"/>
  <c r="G192" i="6"/>
  <c r="H192" i="6"/>
  <c r="G104" i="6"/>
  <c r="H104" i="6"/>
  <c r="G43" i="6"/>
  <c r="H43" i="6"/>
  <c r="G115" i="6"/>
  <c r="H115" i="6"/>
  <c r="G187" i="6"/>
  <c r="H187" i="6"/>
  <c r="G79" i="6"/>
  <c r="H79" i="6"/>
  <c r="G91" i="6"/>
  <c r="H91" i="6"/>
  <c r="G153" i="6"/>
  <c r="H153" i="6"/>
  <c r="G190" i="6"/>
  <c r="H190" i="6"/>
  <c r="G118" i="6"/>
  <c r="H118" i="6"/>
  <c r="G14" i="6"/>
  <c r="H14" i="6"/>
  <c r="G168" i="6"/>
  <c r="H168" i="6"/>
  <c r="G17" i="6"/>
  <c r="H17" i="6"/>
  <c r="G129" i="6"/>
  <c r="H129" i="6"/>
  <c r="G45" i="6"/>
  <c r="H45" i="6"/>
  <c r="G167" i="6"/>
  <c r="H167" i="6"/>
  <c r="G119" i="6"/>
  <c r="H119" i="6"/>
  <c r="G132" i="6"/>
  <c r="H132" i="6"/>
  <c r="G94" i="6"/>
  <c r="H94" i="6"/>
  <c r="G179" i="6"/>
  <c r="H179" i="6"/>
  <c r="G116" i="6"/>
  <c r="H116" i="6"/>
  <c r="G158" i="6"/>
  <c r="H158" i="6"/>
  <c r="G151" i="6"/>
  <c r="H151" i="6"/>
  <c r="G65" i="6"/>
  <c r="H65" i="6"/>
  <c r="G117" i="6"/>
  <c r="H117" i="6"/>
  <c r="G47" i="6"/>
  <c r="H47" i="6"/>
  <c r="G71" i="6"/>
  <c r="H71" i="6"/>
  <c r="G54" i="6"/>
  <c r="H54" i="6"/>
  <c r="G121" i="6"/>
  <c r="H121" i="6"/>
  <c r="G81" i="6"/>
  <c r="H81" i="6"/>
  <c r="G123" i="6"/>
  <c r="H123" i="6"/>
  <c r="G39" i="6"/>
  <c r="H39" i="6"/>
  <c r="G148" i="6"/>
  <c r="H148" i="6"/>
  <c r="G157" i="6"/>
  <c r="H157" i="6"/>
  <c r="G137" i="6"/>
  <c r="H137" i="6"/>
  <c r="G147" i="6"/>
  <c r="H147" i="6"/>
  <c r="G193" i="6"/>
  <c r="H193" i="6"/>
  <c r="G154" i="6"/>
  <c r="H154" i="6"/>
  <c r="G33" i="6"/>
  <c r="H33" i="6"/>
  <c r="G166" i="6"/>
  <c r="H166" i="6"/>
  <c r="G107" i="6"/>
  <c r="H107" i="6"/>
  <c r="G18" i="6"/>
  <c r="H18" i="6"/>
  <c r="G77" i="6"/>
  <c r="H77" i="6"/>
  <c r="G64" i="6"/>
  <c r="H64" i="6"/>
  <c r="G70" i="6"/>
  <c r="H70" i="6"/>
  <c r="G69" i="6"/>
  <c r="H69" i="6"/>
  <c r="G73" i="6"/>
  <c r="H73" i="6"/>
  <c r="G59" i="6"/>
  <c r="H59" i="6"/>
  <c r="G112" i="6"/>
  <c r="H112" i="6"/>
  <c r="G42" i="6"/>
  <c r="H42" i="6"/>
  <c r="G75" i="6"/>
  <c r="H75" i="6"/>
  <c r="G32" i="6"/>
  <c r="H32" i="6"/>
  <c r="G111" i="6"/>
  <c r="H111" i="6"/>
  <c r="G40" i="6"/>
  <c r="H40" i="6"/>
  <c r="G176" i="6"/>
  <c r="H176" i="6"/>
  <c r="G3" i="6"/>
  <c r="H3" i="6"/>
  <c r="G22" i="6"/>
  <c r="H22" i="6"/>
  <c r="G12" i="6"/>
  <c r="H12" i="6"/>
  <c r="G196" i="6"/>
  <c r="H196" i="6"/>
  <c r="G161" i="6"/>
  <c r="H161" i="6"/>
  <c r="G207" i="6"/>
  <c r="H207" i="6"/>
  <c r="G162" i="6"/>
  <c r="H162" i="6"/>
  <c r="G202" i="6"/>
  <c r="H202" i="6"/>
  <c r="G186" i="6"/>
  <c r="H186" i="6"/>
  <c r="G208" i="6"/>
  <c r="H208" i="6"/>
  <c r="G134" i="6"/>
  <c r="H134" i="6"/>
  <c r="G90" i="6"/>
  <c r="H90" i="6"/>
  <c r="G99" i="6"/>
  <c r="H99" i="6"/>
  <c r="G44" i="6"/>
  <c r="H44" i="6"/>
  <c r="G93" i="6"/>
  <c r="H93" i="6"/>
  <c r="G27" i="6"/>
  <c r="H27" i="6"/>
  <c r="G183" i="6"/>
  <c r="H183" i="6"/>
  <c r="G97" i="6"/>
  <c r="H97" i="6"/>
  <c r="G34" i="6"/>
  <c r="H34" i="6"/>
  <c r="G29" i="6"/>
  <c r="H29" i="6"/>
  <c r="G152" i="6"/>
  <c r="H152" i="6"/>
  <c r="G61" i="6"/>
  <c r="H61" i="6"/>
  <c r="G124" i="6"/>
  <c r="H124" i="6"/>
  <c r="G205" i="6"/>
  <c r="H205" i="6"/>
  <c r="G173" i="6"/>
  <c r="H173" i="6"/>
  <c r="G206" i="6"/>
  <c r="H206" i="6"/>
  <c r="G160" i="6"/>
  <c r="H160" i="6"/>
  <c r="G199" i="6"/>
  <c r="H199" i="6"/>
  <c r="G174" i="6"/>
  <c r="H174" i="6"/>
  <c r="G201" i="6"/>
  <c r="H201" i="6"/>
  <c r="G139" i="6"/>
  <c r="H139" i="6"/>
  <c r="G36" i="6"/>
  <c r="H36" i="6"/>
  <c r="G164" i="6"/>
  <c r="H164" i="6"/>
  <c r="G5" i="6"/>
  <c r="H5" i="6"/>
  <c r="G138" i="6"/>
  <c r="H138" i="6"/>
  <c r="G84" i="6"/>
  <c r="H84" i="6"/>
  <c r="G150" i="6"/>
  <c r="H150" i="6"/>
  <c r="G122" i="6"/>
  <c r="H122" i="6"/>
  <c r="G143" i="6"/>
  <c r="H143" i="6"/>
  <c r="G24" i="6"/>
  <c r="H24" i="6"/>
  <c r="G136" i="6"/>
  <c r="H136" i="6"/>
  <c r="G78" i="6"/>
  <c r="H78" i="6"/>
  <c r="G102" i="6"/>
  <c r="H102" i="6"/>
  <c r="G188" i="6"/>
  <c r="H188" i="6"/>
  <c r="G15" i="6"/>
  <c r="H15" i="6"/>
  <c r="G191" i="6"/>
  <c r="H191" i="6"/>
  <c r="G76" i="6"/>
  <c r="H76" i="6"/>
  <c r="G48" i="6"/>
  <c r="H48" i="6"/>
  <c r="G131" i="6"/>
  <c r="H131" i="6"/>
  <c r="G57" i="6"/>
  <c r="H57" i="6"/>
  <c r="G63" i="6"/>
  <c r="H63" i="6"/>
  <c r="G67" i="6"/>
  <c r="H67" i="6"/>
  <c r="G130" i="6"/>
  <c r="H130" i="6"/>
  <c r="G172" i="6"/>
  <c r="H172" i="6"/>
  <c r="G87" i="6"/>
  <c r="H87" i="6"/>
  <c r="G197" i="6"/>
  <c r="H197" i="6"/>
  <c r="G198" i="6"/>
  <c r="H198" i="6"/>
  <c r="G209" i="6"/>
  <c r="H209" i="6"/>
  <c r="G170" i="6"/>
  <c r="H170" i="6"/>
  <c r="G141" i="6"/>
  <c r="H141" i="6"/>
  <c r="G21" i="6"/>
  <c r="H21" i="6"/>
  <c r="G182" i="6"/>
  <c r="H182" i="6"/>
  <c r="G37" i="6"/>
  <c r="H37" i="6"/>
  <c r="G177" i="6"/>
  <c r="H177" i="6"/>
  <c r="G6" i="6"/>
  <c r="H6" i="6"/>
  <c r="G175" i="6"/>
  <c r="H175" i="6"/>
  <c r="G35" i="6"/>
  <c r="H35" i="6"/>
  <c r="G51" i="6"/>
  <c r="H51" i="6"/>
  <c r="G120" i="6"/>
  <c r="H120" i="6"/>
  <c r="G203" i="6"/>
  <c r="H203" i="6"/>
  <c r="G8" i="6"/>
  <c r="H8" i="6"/>
  <c r="G20" i="6"/>
  <c r="H20" i="6"/>
  <c r="G41" i="6"/>
  <c r="H41" i="6"/>
  <c r="G56" i="6"/>
  <c r="H56" i="6"/>
  <c r="G60" i="6"/>
  <c r="H60" i="6"/>
  <c r="G105" i="6"/>
  <c r="H105" i="6"/>
  <c r="G88" i="6"/>
  <c r="H88" i="6"/>
  <c r="G85" i="6"/>
  <c r="H85" i="6"/>
  <c r="G109" i="6"/>
  <c r="H109" i="6"/>
  <c r="G66" i="6"/>
  <c r="H66" i="6"/>
  <c r="G133" i="6"/>
  <c r="H133" i="6"/>
  <c r="G194" i="6"/>
  <c r="H194" i="6"/>
  <c r="G114" i="6"/>
  <c r="H114" i="6"/>
  <c r="G31" i="6"/>
  <c r="H31" i="6"/>
  <c r="G101" i="6"/>
  <c r="H101" i="6"/>
  <c r="G38" i="6"/>
  <c r="H38" i="6"/>
  <c r="G103" i="6"/>
  <c r="H103" i="6"/>
  <c r="H25" i="6"/>
  <c r="G25" i="6"/>
  <c r="H46" i="6"/>
  <c r="G46" i="6"/>
  <c r="H10" i="6"/>
  <c r="G10" i="6"/>
  <c r="H106" i="6"/>
  <c r="G106" i="6"/>
  <c r="H3" i="4"/>
  <c r="H55" i="4"/>
  <c r="H106" i="4"/>
  <c r="H158" i="4"/>
  <c r="H4" i="4"/>
  <c r="H107" i="4"/>
  <c r="H159" i="4"/>
  <c r="H5" i="4"/>
  <c r="H56" i="4"/>
  <c r="H108" i="4"/>
  <c r="H160" i="4"/>
  <c r="H6" i="4"/>
  <c r="H57" i="4"/>
  <c r="H109" i="4"/>
  <c r="H161" i="4"/>
  <c r="H7" i="4"/>
  <c r="H58" i="4"/>
  <c r="H110" i="4"/>
  <c r="H162" i="4"/>
  <c r="H8" i="4"/>
  <c r="H59" i="4"/>
  <c r="H111" i="4"/>
  <c r="H163" i="4"/>
  <c r="H9" i="4"/>
  <c r="H60" i="4"/>
  <c r="H112" i="4"/>
  <c r="H164" i="4"/>
  <c r="H10" i="4"/>
  <c r="H61" i="4"/>
  <c r="H113" i="4"/>
  <c r="H165" i="4"/>
  <c r="H11" i="4"/>
  <c r="H62" i="4"/>
  <c r="H114" i="4"/>
  <c r="H166" i="4"/>
  <c r="H12" i="4"/>
  <c r="H63" i="4"/>
  <c r="H115" i="4"/>
  <c r="H167" i="4"/>
  <c r="H13" i="4"/>
  <c r="H64" i="4"/>
  <c r="H116" i="4"/>
  <c r="H168" i="4"/>
  <c r="H14" i="4"/>
  <c r="H65" i="4"/>
  <c r="H117" i="4"/>
  <c r="H169" i="4"/>
  <c r="H15" i="4"/>
  <c r="H66" i="4"/>
  <c r="H118" i="4"/>
  <c r="H170" i="4"/>
  <c r="H16" i="4"/>
  <c r="H67" i="4"/>
  <c r="H119" i="4"/>
  <c r="H171" i="4"/>
  <c r="H17" i="4"/>
  <c r="H68" i="4"/>
  <c r="H120" i="4"/>
  <c r="H172" i="4"/>
  <c r="H18" i="4"/>
  <c r="H69" i="4"/>
  <c r="H121" i="4"/>
  <c r="H173" i="4"/>
  <c r="H19" i="4"/>
  <c r="H70" i="4"/>
  <c r="H122" i="4"/>
  <c r="H174" i="4"/>
  <c r="H20" i="4"/>
  <c r="H71" i="4"/>
  <c r="H123" i="4"/>
  <c r="H175" i="4"/>
  <c r="H21" i="4"/>
  <c r="H72" i="4"/>
  <c r="H124" i="4"/>
  <c r="H176" i="4"/>
  <c r="H22" i="4"/>
  <c r="H73" i="4"/>
  <c r="H125" i="4"/>
  <c r="H177" i="4"/>
  <c r="H23" i="4"/>
  <c r="H74" i="4"/>
  <c r="H126" i="4"/>
  <c r="H178" i="4"/>
  <c r="H24" i="4"/>
  <c r="H75" i="4"/>
  <c r="H127" i="4"/>
  <c r="H179" i="4"/>
  <c r="H25" i="4"/>
  <c r="H76" i="4"/>
  <c r="H128" i="4"/>
  <c r="H180" i="4"/>
  <c r="H26" i="4"/>
  <c r="H77" i="4"/>
  <c r="H129" i="4"/>
  <c r="H181" i="4"/>
  <c r="H27" i="4"/>
  <c r="H78" i="4"/>
  <c r="H130" i="4"/>
  <c r="H182" i="4"/>
  <c r="H28" i="4"/>
  <c r="H79" i="4"/>
  <c r="H131" i="4"/>
  <c r="H183" i="4"/>
  <c r="H29" i="4"/>
  <c r="H80" i="4"/>
  <c r="H132" i="4"/>
  <c r="H184" i="4"/>
  <c r="H30" i="4"/>
  <c r="H81" i="4"/>
  <c r="H133" i="4"/>
  <c r="H185" i="4"/>
  <c r="H31" i="4"/>
  <c r="H82" i="4"/>
  <c r="H134" i="4"/>
  <c r="H186" i="4"/>
  <c r="H32" i="4"/>
  <c r="H83" i="4"/>
  <c r="H135" i="4"/>
  <c r="H187" i="4"/>
  <c r="H33" i="4"/>
  <c r="H84" i="4"/>
  <c r="H136" i="4"/>
  <c r="H188" i="4"/>
  <c r="H34" i="4"/>
  <c r="H85" i="4"/>
  <c r="H137" i="4"/>
  <c r="H189" i="4"/>
  <c r="H35" i="4"/>
  <c r="H86" i="4"/>
  <c r="H138" i="4"/>
  <c r="H190" i="4"/>
  <c r="H36" i="4"/>
  <c r="H87" i="4"/>
  <c r="H139" i="4"/>
  <c r="H191" i="4"/>
  <c r="H37" i="4"/>
  <c r="H88" i="4"/>
  <c r="H140" i="4"/>
  <c r="H192" i="4"/>
  <c r="H38" i="4"/>
  <c r="H89" i="4"/>
  <c r="H141" i="4"/>
  <c r="H193" i="4"/>
  <c r="H39" i="4"/>
  <c r="H90" i="4"/>
  <c r="H142" i="4"/>
  <c r="H194" i="4"/>
  <c r="H40" i="4"/>
  <c r="H91" i="4"/>
  <c r="H143" i="4"/>
  <c r="H195" i="4"/>
  <c r="H41" i="4"/>
  <c r="H92" i="4"/>
  <c r="H144" i="4"/>
  <c r="H196" i="4"/>
  <c r="H42" i="4"/>
  <c r="H93" i="4"/>
  <c r="H145" i="4"/>
  <c r="H197" i="4"/>
  <c r="H43" i="4"/>
  <c r="H94" i="4"/>
  <c r="H146" i="4"/>
  <c r="H198" i="4"/>
  <c r="H44" i="4"/>
  <c r="H95" i="4"/>
  <c r="H147" i="4"/>
  <c r="H199" i="4"/>
  <c r="H45" i="4"/>
  <c r="H96" i="4"/>
  <c r="H148" i="4"/>
  <c r="H200" i="4"/>
  <c r="H46" i="4"/>
  <c r="H97" i="4"/>
  <c r="H149" i="4"/>
  <c r="H201" i="4"/>
  <c r="H47" i="4"/>
  <c r="H98" i="4"/>
  <c r="H150" i="4"/>
  <c r="H202" i="4"/>
  <c r="H48" i="4"/>
  <c r="H99" i="4"/>
  <c r="H151" i="4"/>
  <c r="H203" i="4"/>
  <c r="H49" i="4"/>
  <c r="H100" i="4"/>
  <c r="H152" i="4"/>
  <c r="H204" i="4"/>
  <c r="H50" i="4"/>
  <c r="H101" i="4"/>
  <c r="H153" i="4"/>
  <c r="H205" i="4"/>
  <c r="H51" i="4"/>
  <c r="H102" i="4"/>
  <c r="H154" i="4"/>
  <c r="H206" i="4"/>
  <c r="H52" i="4"/>
  <c r="H103" i="4"/>
  <c r="H155" i="4"/>
  <c r="H207" i="4"/>
  <c r="H53" i="4"/>
  <c r="H104" i="4"/>
  <c r="H156" i="4"/>
  <c r="H208" i="4"/>
  <c r="G3" i="4"/>
  <c r="G55" i="4"/>
  <c r="G106" i="4"/>
  <c r="G158" i="4"/>
  <c r="G4" i="4"/>
  <c r="G107" i="4"/>
  <c r="G159" i="4"/>
  <c r="G5" i="4"/>
  <c r="G56" i="4"/>
  <c r="G108" i="4"/>
  <c r="G160" i="4"/>
  <c r="G6" i="4"/>
  <c r="G57" i="4"/>
  <c r="G109" i="4"/>
  <c r="G161" i="4"/>
  <c r="G7" i="4"/>
  <c r="G58" i="4"/>
  <c r="G110" i="4"/>
  <c r="G162" i="4"/>
  <c r="G8" i="4"/>
  <c r="G59" i="4"/>
  <c r="G111" i="4"/>
  <c r="G163" i="4"/>
  <c r="G9" i="4"/>
  <c r="G60" i="4"/>
  <c r="G112" i="4"/>
  <c r="G164" i="4"/>
  <c r="G10" i="4"/>
  <c r="G61" i="4"/>
  <c r="G113" i="4"/>
  <c r="G165" i="4"/>
  <c r="G11" i="4"/>
  <c r="G62" i="4"/>
  <c r="G114" i="4"/>
  <c r="G166" i="4"/>
  <c r="G12" i="4"/>
  <c r="G63" i="4"/>
  <c r="G115" i="4"/>
  <c r="G167" i="4"/>
  <c r="G13" i="4"/>
  <c r="G64" i="4"/>
  <c r="G116" i="4"/>
  <c r="G168" i="4"/>
  <c r="G14" i="4"/>
  <c r="G65" i="4"/>
  <c r="G117" i="4"/>
  <c r="G169" i="4"/>
  <c r="G15" i="4"/>
  <c r="G66" i="4"/>
  <c r="G118" i="4"/>
  <c r="G170" i="4"/>
  <c r="G16" i="4"/>
  <c r="G67" i="4"/>
  <c r="G119" i="4"/>
  <c r="G171" i="4"/>
  <c r="G17" i="4"/>
  <c r="G68" i="4"/>
  <c r="G120" i="4"/>
  <c r="G172" i="4"/>
  <c r="G18" i="4"/>
  <c r="G69" i="4"/>
  <c r="G121" i="4"/>
  <c r="G173" i="4"/>
  <c r="G19" i="4"/>
  <c r="G70" i="4"/>
  <c r="G122" i="4"/>
  <c r="G174" i="4"/>
  <c r="G20" i="4"/>
  <c r="G71" i="4"/>
  <c r="G123" i="4"/>
  <c r="G175" i="4"/>
  <c r="G21" i="4"/>
  <c r="G72" i="4"/>
  <c r="G124" i="4"/>
  <c r="G176" i="4"/>
  <c r="G22" i="4"/>
  <c r="G73" i="4"/>
  <c r="G125" i="4"/>
  <c r="G177" i="4"/>
  <c r="G23" i="4"/>
  <c r="G74" i="4"/>
  <c r="G126" i="4"/>
  <c r="G178" i="4"/>
  <c r="G24" i="4"/>
  <c r="G75" i="4"/>
  <c r="G127" i="4"/>
  <c r="G179" i="4"/>
  <c r="G25" i="4"/>
  <c r="G76" i="4"/>
  <c r="G128" i="4"/>
  <c r="G180" i="4"/>
  <c r="G26" i="4"/>
  <c r="G77" i="4"/>
  <c r="G129" i="4"/>
  <c r="G181" i="4"/>
  <c r="G27" i="4"/>
  <c r="G78" i="4"/>
  <c r="G130" i="4"/>
  <c r="G182" i="4"/>
  <c r="G28" i="4"/>
  <c r="G79" i="4"/>
  <c r="G131" i="4"/>
  <c r="G183" i="4"/>
  <c r="G29" i="4"/>
  <c r="G80" i="4"/>
  <c r="G132" i="4"/>
  <c r="G184" i="4"/>
  <c r="G30" i="4"/>
  <c r="G81" i="4"/>
  <c r="G133" i="4"/>
  <c r="G185" i="4"/>
  <c r="G31" i="4"/>
  <c r="G82" i="4"/>
  <c r="G134" i="4"/>
  <c r="G186" i="4"/>
  <c r="G32" i="4"/>
  <c r="G83" i="4"/>
  <c r="G135" i="4"/>
  <c r="G187" i="4"/>
  <c r="G33" i="4"/>
  <c r="G84" i="4"/>
  <c r="G136" i="4"/>
  <c r="G188" i="4"/>
  <c r="G34" i="4"/>
  <c r="G85" i="4"/>
  <c r="G137" i="4"/>
  <c r="G189" i="4"/>
  <c r="G35" i="4"/>
  <c r="G86" i="4"/>
  <c r="G138" i="4"/>
  <c r="G190" i="4"/>
  <c r="G36" i="4"/>
  <c r="G87" i="4"/>
  <c r="G139" i="4"/>
  <c r="G191" i="4"/>
  <c r="G37" i="4"/>
  <c r="G88" i="4"/>
  <c r="G140" i="4"/>
  <c r="G192" i="4"/>
  <c r="G38" i="4"/>
  <c r="G89" i="4"/>
  <c r="G141" i="4"/>
  <c r="G193" i="4"/>
  <c r="G39" i="4"/>
  <c r="G90" i="4"/>
  <c r="G142" i="4"/>
  <c r="G194" i="4"/>
  <c r="G40" i="4"/>
  <c r="G91" i="4"/>
  <c r="G143" i="4"/>
  <c r="G195" i="4"/>
  <c r="G41" i="4"/>
  <c r="G92" i="4"/>
  <c r="G144" i="4"/>
  <c r="G196" i="4"/>
  <c r="G42" i="4"/>
  <c r="G93" i="4"/>
  <c r="G145" i="4"/>
  <c r="G197" i="4"/>
  <c r="G43" i="4"/>
  <c r="G94" i="4"/>
  <c r="G146" i="4"/>
  <c r="G198" i="4"/>
  <c r="G44" i="4"/>
  <c r="G95" i="4"/>
  <c r="G147" i="4"/>
  <c r="G199" i="4"/>
  <c r="G45" i="4"/>
  <c r="G96" i="4"/>
  <c r="G148" i="4"/>
  <c r="G200" i="4"/>
  <c r="G46" i="4"/>
  <c r="G97" i="4"/>
  <c r="G149" i="4"/>
  <c r="G201" i="4"/>
  <c r="G47" i="4"/>
  <c r="G98" i="4"/>
  <c r="G150" i="4"/>
  <c r="G202" i="4"/>
  <c r="G48" i="4"/>
  <c r="G99" i="4"/>
  <c r="G151" i="4"/>
  <c r="G203" i="4"/>
  <c r="G49" i="4"/>
  <c r="G100" i="4"/>
  <c r="G152" i="4"/>
  <c r="G204" i="4"/>
  <c r="G50" i="4"/>
  <c r="G101" i="4"/>
  <c r="G153" i="4"/>
  <c r="G205" i="4"/>
  <c r="G51" i="4"/>
  <c r="G102" i="4"/>
  <c r="G154" i="4"/>
  <c r="G206" i="4"/>
  <c r="G52" i="4"/>
  <c r="G103" i="4"/>
  <c r="G155" i="4"/>
  <c r="G207" i="4"/>
  <c r="G53" i="4"/>
  <c r="G104" i="4"/>
  <c r="G156" i="4"/>
  <c r="G208" i="4"/>
  <c r="H157" i="4"/>
  <c r="G157" i="4"/>
  <c r="H105" i="4"/>
  <c r="G105" i="4"/>
  <c r="H54" i="4"/>
  <c r="G54" i="4"/>
  <c r="H2" i="4"/>
  <c r="G2" i="4"/>
  <c r="K6" i="8" l="1"/>
  <c r="K4" i="8"/>
  <c r="K3" i="8"/>
  <c r="K5" i="8"/>
  <c r="K4" i="7"/>
  <c r="K6" i="7"/>
  <c r="K5" i="7"/>
  <c r="K3" i="7"/>
  <c r="K6" i="6"/>
  <c r="K5" i="6"/>
  <c r="K3" i="6"/>
  <c r="K4" i="6"/>
  <c r="K4" i="4"/>
  <c r="K3" i="4"/>
  <c r="K6" i="4"/>
  <c r="K5" i="4"/>
  <c r="H31" i="3"/>
  <c r="H60" i="3"/>
  <c r="H128" i="3"/>
  <c r="H32" i="3"/>
  <c r="H101" i="3"/>
  <c r="H125" i="3"/>
  <c r="H29" i="3"/>
  <c r="H110" i="3"/>
  <c r="H25" i="3"/>
  <c r="H131" i="3"/>
  <c r="H37" i="3"/>
  <c r="H59" i="3"/>
  <c r="H135" i="3"/>
  <c r="H28" i="3"/>
  <c r="H66" i="3"/>
  <c r="H124" i="3"/>
  <c r="H27" i="3"/>
  <c r="H103" i="3"/>
  <c r="H113" i="3"/>
  <c r="H9" i="3"/>
  <c r="H72" i="3"/>
  <c r="H119" i="3"/>
  <c r="H12" i="3"/>
  <c r="H87" i="3"/>
  <c r="H111" i="3"/>
  <c r="H4" i="3"/>
  <c r="H71" i="3"/>
  <c r="H137" i="3"/>
  <c r="H58" i="3"/>
  <c r="H85" i="3"/>
  <c r="H3" i="3"/>
  <c r="H55" i="3"/>
  <c r="H108" i="3"/>
  <c r="H63" i="3"/>
  <c r="H43" i="3"/>
  <c r="H96" i="3"/>
  <c r="H140" i="3"/>
  <c r="H42" i="3"/>
  <c r="H95" i="3"/>
  <c r="H145" i="3"/>
  <c r="H49" i="3"/>
  <c r="H89" i="3"/>
  <c r="H151" i="3"/>
  <c r="H19" i="3"/>
  <c r="H62" i="3"/>
  <c r="H132" i="3"/>
  <c r="H30" i="3"/>
  <c r="H92" i="3"/>
  <c r="H141" i="3"/>
  <c r="H8" i="3"/>
  <c r="H70" i="3"/>
  <c r="H144" i="3"/>
  <c r="H2" i="3"/>
  <c r="H100" i="3"/>
  <c r="H104" i="3"/>
  <c r="H14" i="3"/>
  <c r="H18" i="3"/>
  <c r="H20" i="3"/>
  <c r="H24" i="3"/>
  <c r="H83" i="3"/>
  <c r="H122" i="3"/>
  <c r="H109" i="3"/>
  <c r="H22" i="3"/>
  <c r="H88" i="3"/>
  <c r="H21" i="3"/>
  <c r="H79" i="3"/>
  <c r="H130" i="3"/>
  <c r="H10" i="3"/>
  <c r="H78" i="3"/>
  <c r="H120" i="3"/>
  <c r="H129" i="3"/>
  <c r="H94" i="3"/>
  <c r="H54" i="3"/>
  <c r="H41" i="3"/>
  <c r="H15" i="3"/>
  <c r="H93" i="3"/>
  <c r="H116" i="3"/>
  <c r="H13" i="3"/>
  <c r="H69" i="3"/>
  <c r="H114" i="3"/>
  <c r="H11" i="3"/>
  <c r="H56" i="3"/>
  <c r="H115" i="3"/>
  <c r="H17" i="3"/>
  <c r="H61" i="3"/>
  <c r="H118" i="3"/>
  <c r="H45" i="3"/>
  <c r="H67" i="3"/>
  <c r="H127" i="3"/>
  <c r="H47" i="3"/>
  <c r="H97" i="3"/>
  <c r="H154" i="3"/>
  <c r="H46" i="3"/>
  <c r="H147" i="3"/>
  <c r="H48" i="3"/>
  <c r="H152" i="3"/>
  <c r="H153" i="3"/>
  <c r="H26" i="3"/>
  <c r="H65" i="3"/>
  <c r="H126" i="3"/>
  <c r="H133" i="3"/>
  <c r="H99" i="3"/>
  <c r="H148" i="3"/>
  <c r="H51" i="3"/>
  <c r="H5" i="3"/>
  <c r="H80" i="3"/>
  <c r="H121" i="3"/>
  <c r="H52" i="3"/>
  <c r="H91" i="3"/>
  <c r="H149" i="3"/>
  <c r="H50" i="3"/>
  <c r="H84" i="3"/>
  <c r="H150" i="3"/>
  <c r="H34" i="3"/>
  <c r="H82" i="3"/>
  <c r="H117" i="3"/>
  <c r="H23" i="3"/>
  <c r="H68" i="3"/>
  <c r="H123" i="3"/>
  <c r="H35" i="3"/>
  <c r="H106" i="3"/>
  <c r="H38" i="3"/>
  <c r="H44" i="3"/>
  <c r="H64" i="3"/>
  <c r="H139" i="3"/>
  <c r="H33" i="3"/>
  <c r="H74" i="3"/>
  <c r="H143" i="3"/>
  <c r="H40" i="3"/>
  <c r="H81" i="3"/>
  <c r="H146" i="3"/>
  <c r="H53" i="3"/>
  <c r="H155" i="3"/>
  <c r="H98" i="3"/>
  <c r="H75" i="3"/>
  <c r="H102" i="3"/>
  <c r="H136" i="3"/>
  <c r="H134" i="3"/>
  <c r="H39" i="3"/>
  <c r="H57" i="3"/>
  <c r="H105" i="3"/>
  <c r="H86" i="3"/>
  <c r="H6" i="3"/>
  <c r="H76" i="3"/>
  <c r="H138" i="3"/>
  <c r="H36" i="3"/>
  <c r="H77" i="3"/>
  <c r="H112" i="3"/>
  <c r="H16" i="3"/>
  <c r="H90" i="3"/>
  <c r="H142" i="3"/>
  <c r="H7" i="3"/>
  <c r="H73" i="3"/>
  <c r="H107" i="3"/>
  <c r="G31" i="3"/>
  <c r="G60" i="3"/>
  <c r="G128" i="3"/>
  <c r="G32" i="3"/>
  <c r="G101" i="3"/>
  <c r="G125" i="3"/>
  <c r="G29" i="3"/>
  <c r="G110" i="3"/>
  <c r="G25" i="3"/>
  <c r="G131" i="3"/>
  <c r="G37" i="3"/>
  <c r="G59" i="3"/>
  <c r="G135" i="3"/>
  <c r="G28" i="3"/>
  <c r="G66" i="3"/>
  <c r="G124" i="3"/>
  <c r="G27" i="3"/>
  <c r="G103" i="3"/>
  <c r="G113" i="3"/>
  <c r="G9" i="3"/>
  <c r="G72" i="3"/>
  <c r="G119" i="3"/>
  <c r="G12" i="3"/>
  <c r="G87" i="3"/>
  <c r="G111" i="3"/>
  <c r="G4" i="3"/>
  <c r="G71" i="3"/>
  <c r="G137" i="3"/>
  <c r="G58" i="3"/>
  <c r="G85" i="3"/>
  <c r="G3" i="3"/>
  <c r="G55" i="3"/>
  <c r="G108" i="3"/>
  <c r="G63" i="3"/>
  <c r="G43" i="3"/>
  <c r="G96" i="3"/>
  <c r="G140" i="3"/>
  <c r="G42" i="3"/>
  <c r="G95" i="3"/>
  <c r="G145" i="3"/>
  <c r="G49" i="3"/>
  <c r="G89" i="3"/>
  <c r="G151" i="3"/>
  <c r="G19" i="3"/>
  <c r="G62" i="3"/>
  <c r="G132" i="3"/>
  <c r="G30" i="3"/>
  <c r="G92" i="3"/>
  <c r="G141" i="3"/>
  <c r="G8" i="3"/>
  <c r="G70" i="3"/>
  <c r="G144" i="3"/>
  <c r="G2" i="3"/>
  <c r="G100" i="3"/>
  <c r="G104" i="3"/>
  <c r="G14" i="3"/>
  <c r="G18" i="3"/>
  <c r="G20" i="3"/>
  <c r="G24" i="3"/>
  <c r="G83" i="3"/>
  <c r="G122" i="3"/>
  <c r="G109" i="3"/>
  <c r="G22" i="3"/>
  <c r="G88" i="3"/>
  <c r="G21" i="3"/>
  <c r="G79" i="3"/>
  <c r="G130" i="3"/>
  <c r="G10" i="3"/>
  <c r="G78" i="3"/>
  <c r="G120" i="3"/>
  <c r="G129" i="3"/>
  <c r="G94" i="3"/>
  <c r="G54" i="3"/>
  <c r="G41" i="3"/>
  <c r="G15" i="3"/>
  <c r="G93" i="3"/>
  <c r="G116" i="3"/>
  <c r="G13" i="3"/>
  <c r="G69" i="3"/>
  <c r="G114" i="3"/>
  <c r="G11" i="3"/>
  <c r="G56" i="3"/>
  <c r="G115" i="3"/>
  <c r="G17" i="3"/>
  <c r="G61" i="3"/>
  <c r="G118" i="3"/>
  <c r="G45" i="3"/>
  <c r="G67" i="3"/>
  <c r="G127" i="3"/>
  <c r="G47" i="3"/>
  <c r="G97" i="3"/>
  <c r="G154" i="3"/>
  <c r="G46" i="3"/>
  <c r="G147" i="3"/>
  <c r="G48" i="3"/>
  <c r="G152" i="3"/>
  <c r="G153" i="3"/>
  <c r="G26" i="3"/>
  <c r="G65" i="3"/>
  <c r="G126" i="3"/>
  <c r="G133" i="3"/>
  <c r="G99" i="3"/>
  <c r="G148" i="3"/>
  <c r="G51" i="3"/>
  <c r="G5" i="3"/>
  <c r="G80" i="3"/>
  <c r="G121" i="3"/>
  <c r="G52" i="3"/>
  <c r="G91" i="3"/>
  <c r="G149" i="3"/>
  <c r="G50" i="3"/>
  <c r="G84" i="3"/>
  <c r="G150" i="3"/>
  <c r="G34" i="3"/>
  <c r="G82" i="3"/>
  <c r="G117" i="3"/>
  <c r="G23" i="3"/>
  <c r="G68" i="3"/>
  <c r="G123" i="3"/>
  <c r="G35" i="3"/>
  <c r="G106" i="3"/>
  <c r="G38" i="3"/>
  <c r="G44" i="3"/>
  <c r="G64" i="3"/>
  <c r="G139" i="3"/>
  <c r="G33" i="3"/>
  <c r="G74" i="3"/>
  <c r="G143" i="3"/>
  <c r="G40" i="3"/>
  <c r="G81" i="3"/>
  <c r="G146" i="3"/>
  <c r="G53" i="3"/>
  <c r="G155" i="3"/>
  <c r="G98" i="3"/>
  <c r="G75" i="3"/>
  <c r="G102" i="3"/>
  <c r="G136" i="3"/>
  <c r="G134" i="3"/>
  <c r="G39" i="3"/>
  <c r="G57" i="3"/>
  <c r="G105" i="3"/>
  <c r="G86" i="3"/>
  <c r="G6" i="3"/>
  <c r="G76" i="3"/>
  <c r="G138" i="3"/>
  <c r="G36" i="3"/>
  <c r="G77" i="3"/>
  <c r="G112" i="3"/>
  <c r="G16" i="3"/>
  <c r="G90" i="3"/>
  <c r="G142" i="3"/>
  <c r="G7" i="3"/>
  <c r="G73" i="3"/>
  <c r="G107" i="3"/>
  <c r="H176" i="2"/>
  <c r="H193" i="2"/>
  <c r="H185" i="2"/>
  <c r="H177" i="2"/>
  <c r="H100" i="2"/>
  <c r="H199" i="2"/>
  <c r="H57" i="2"/>
  <c r="H120" i="2"/>
  <c r="H117" i="2"/>
  <c r="H79" i="2"/>
  <c r="H41" i="2"/>
  <c r="H152" i="2"/>
  <c r="H150" i="2"/>
  <c r="H9" i="2"/>
  <c r="H184" i="2"/>
  <c r="H30" i="2"/>
  <c r="H204" i="2"/>
  <c r="H81" i="2"/>
  <c r="H132" i="2"/>
  <c r="H80" i="2"/>
  <c r="H167" i="2"/>
  <c r="H70" i="2"/>
  <c r="H154" i="2"/>
  <c r="H207" i="2"/>
  <c r="H102" i="2"/>
  <c r="H170" i="2"/>
  <c r="H17" i="2"/>
  <c r="H109" i="2"/>
  <c r="H123" i="2"/>
  <c r="H22" i="2"/>
  <c r="H112" i="2"/>
  <c r="H135" i="2"/>
  <c r="H162" i="2"/>
  <c r="H82" i="2"/>
  <c r="H122" i="2"/>
  <c r="H125" i="2"/>
  <c r="H107" i="2"/>
  <c r="H171" i="2"/>
  <c r="H83" i="2"/>
  <c r="H89" i="2"/>
  <c r="H20" i="2"/>
  <c r="H45" i="2"/>
  <c r="H8" i="2"/>
  <c r="H10" i="2"/>
  <c r="H78" i="2"/>
  <c r="H88" i="2"/>
  <c r="H161" i="2"/>
  <c r="H169" i="2"/>
  <c r="H189" i="2"/>
  <c r="H90" i="2"/>
  <c r="H121" i="2"/>
  <c r="H145" i="2"/>
  <c r="H146" i="2"/>
  <c r="H136" i="2"/>
  <c r="H160" i="2"/>
  <c r="H72" i="2"/>
  <c r="H188" i="2"/>
  <c r="H86" i="2"/>
  <c r="H164" i="2"/>
  <c r="H190" i="2"/>
  <c r="H194" i="2"/>
  <c r="H175" i="2"/>
  <c r="H49" i="2"/>
  <c r="H113" i="2"/>
  <c r="H23" i="2"/>
  <c r="H40" i="2"/>
  <c r="H31" i="2"/>
  <c r="H87" i="2"/>
  <c r="H75" i="2"/>
  <c r="H47" i="2"/>
  <c r="H4" i="2"/>
  <c r="H118" i="2"/>
  <c r="H26" i="2"/>
  <c r="H69" i="2"/>
  <c r="H147" i="2"/>
  <c r="H133" i="2"/>
  <c r="H195" i="2"/>
  <c r="H29" i="2"/>
  <c r="H99" i="2"/>
  <c r="H62" i="2"/>
  <c r="H149" i="2"/>
  <c r="H93" i="2"/>
  <c r="H46" i="2"/>
  <c r="H111" i="2"/>
  <c r="H106" i="2"/>
  <c r="H140" i="2"/>
  <c r="H27" i="2"/>
  <c r="H144" i="2"/>
  <c r="H101" i="2"/>
  <c r="H54" i="2"/>
  <c r="H24" i="2"/>
  <c r="H134" i="2"/>
  <c r="H48" i="2"/>
  <c r="H35" i="2"/>
  <c r="H37" i="2"/>
  <c r="H21" i="2"/>
  <c r="H28" i="2"/>
  <c r="H56" i="2"/>
  <c r="H64" i="2"/>
  <c r="H2" i="2"/>
  <c r="H105" i="2"/>
  <c r="H3" i="2"/>
  <c r="H129" i="2"/>
  <c r="H13" i="2"/>
  <c r="H128" i="2"/>
  <c r="H179" i="2"/>
  <c r="H115" i="2"/>
  <c r="H126" i="2"/>
  <c r="H124" i="2"/>
  <c r="H116" i="2"/>
  <c r="H85" i="2"/>
  <c r="H51" i="2"/>
  <c r="H137" i="2"/>
  <c r="H36" i="2"/>
  <c r="H119" i="2"/>
  <c r="H110" i="2"/>
  <c r="H143" i="2"/>
  <c r="H38" i="2"/>
  <c r="H198" i="2"/>
  <c r="H205" i="2"/>
  <c r="H191" i="2"/>
  <c r="H196" i="2"/>
  <c r="H34" i="2"/>
  <c r="H173" i="2"/>
  <c r="H200" i="2"/>
  <c r="H139" i="2"/>
  <c r="H5" i="2"/>
  <c r="H15" i="2"/>
  <c r="H61" i="2"/>
  <c r="H11" i="2"/>
  <c r="H178" i="2"/>
  <c r="H96" i="2"/>
  <c r="H192" i="2"/>
  <c r="H77" i="2"/>
  <c r="H201" i="2"/>
  <c r="H58" i="2"/>
  <c r="H18" i="2"/>
  <c r="H206" i="2"/>
  <c r="H65" i="2"/>
  <c r="H66" i="2"/>
  <c r="H95" i="2"/>
  <c r="H166" i="2"/>
  <c r="H52" i="2"/>
  <c r="H60" i="2"/>
  <c r="H127" i="2"/>
  <c r="H172" i="2"/>
  <c r="H39" i="2"/>
  <c r="H168" i="2"/>
  <c r="H108" i="2"/>
  <c r="H197" i="2"/>
  <c r="H42" i="2"/>
  <c r="H203" i="2"/>
  <c r="H71" i="2"/>
  <c r="H159" i="2"/>
  <c r="H32" i="2"/>
  <c r="H186" i="2"/>
  <c r="H84" i="2"/>
  <c r="H67" i="2"/>
  <c r="H174" i="2"/>
  <c r="H153" i="2"/>
  <c r="H156" i="2"/>
  <c r="H130" i="2"/>
  <c r="H103" i="2"/>
  <c r="H114" i="2"/>
  <c r="H76" i="2"/>
  <c r="H63" i="2"/>
  <c r="H182" i="2"/>
  <c r="H44" i="2"/>
  <c r="H202" i="2"/>
  <c r="H59" i="2"/>
  <c r="H148" i="2"/>
  <c r="H33" i="2"/>
  <c r="H165" i="2"/>
  <c r="H53" i="2"/>
  <c r="H19" i="2"/>
  <c r="H91" i="2"/>
  <c r="H25" i="2"/>
  <c r="H73" i="2"/>
  <c r="H43" i="2"/>
  <c r="H187" i="2"/>
  <c r="H131" i="2"/>
  <c r="H104" i="2"/>
  <c r="H138" i="2"/>
  <c r="H183" i="2"/>
  <c r="H141" i="2"/>
  <c r="H7" i="2"/>
  <c r="H155" i="2"/>
  <c r="H50" i="2"/>
  <c r="H181" i="2"/>
  <c r="H6" i="2"/>
  <c r="H151" i="2"/>
  <c r="H158" i="2"/>
  <c r="H180" i="2"/>
  <c r="H94" i="2"/>
  <c r="H142" i="2"/>
  <c r="H92" i="2"/>
  <c r="H55" i="2"/>
  <c r="H74" i="2"/>
  <c r="H12" i="2"/>
  <c r="H157" i="2"/>
  <c r="H16" i="2"/>
  <c r="H14" i="2"/>
  <c r="H68" i="2"/>
  <c r="H163" i="2"/>
  <c r="H98" i="2"/>
  <c r="H97" i="2"/>
  <c r="H124" i="1"/>
  <c r="H14" i="1"/>
  <c r="H146" i="1"/>
  <c r="H19" i="1"/>
  <c r="H25" i="1"/>
  <c r="H3" i="1"/>
  <c r="H60" i="1"/>
  <c r="H4" i="1"/>
  <c r="H126" i="1"/>
  <c r="H176" i="1"/>
  <c r="H123" i="1"/>
  <c r="H43" i="1"/>
  <c r="H91" i="1"/>
  <c r="H120" i="1"/>
  <c r="H155" i="1"/>
  <c r="H53" i="1"/>
  <c r="H207" i="1"/>
  <c r="H179" i="1"/>
  <c r="H158" i="1"/>
  <c r="H199" i="1"/>
  <c r="H153" i="1"/>
  <c r="H144" i="1"/>
  <c r="H138" i="1"/>
  <c r="H171" i="1"/>
  <c r="H76" i="1"/>
  <c r="H180" i="1"/>
  <c r="H142" i="1"/>
  <c r="H181" i="1"/>
  <c r="H42" i="1"/>
  <c r="H110" i="1"/>
  <c r="H94" i="1"/>
  <c r="H24" i="1"/>
  <c r="H103" i="1"/>
  <c r="H174" i="1"/>
  <c r="H128" i="1"/>
  <c r="H82" i="1"/>
  <c r="H18" i="1"/>
  <c r="H15" i="1"/>
  <c r="H71" i="1"/>
  <c r="H10" i="1"/>
  <c r="H97" i="1"/>
  <c r="H90" i="1"/>
  <c r="H89" i="1"/>
  <c r="H46" i="1"/>
  <c r="H133" i="1"/>
  <c r="H93" i="1"/>
  <c r="H118" i="1"/>
  <c r="H81" i="1"/>
  <c r="H78" i="1"/>
  <c r="H98" i="1"/>
  <c r="H172" i="1"/>
  <c r="H79" i="1"/>
  <c r="H48" i="1"/>
  <c r="H196" i="1"/>
  <c r="H106" i="1"/>
  <c r="H129" i="1"/>
  <c r="H41" i="1"/>
  <c r="H182" i="1"/>
  <c r="H88" i="1"/>
  <c r="H75" i="1"/>
  <c r="H140" i="1"/>
  <c r="H135" i="1"/>
  <c r="H148" i="1"/>
  <c r="H107" i="1"/>
  <c r="H157" i="1"/>
  <c r="H202" i="1"/>
  <c r="H184" i="1"/>
  <c r="H159" i="1"/>
  <c r="H115" i="1"/>
  <c r="H83" i="1"/>
  <c r="H163" i="1"/>
  <c r="H39" i="1"/>
  <c r="H187" i="1"/>
  <c r="H101" i="1"/>
  <c r="H66" i="1"/>
  <c r="H34" i="1"/>
  <c r="H31" i="1"/>
  <c r="H30" i="1"/>
  <c r="H61" i="1"/>
  <c r="H168" i="1"/>
  <c r="H12" i="1"/>
  <c r="H74" i="1"/>
  <c r="H195" i="1"/>
  <c r="H188" i="1"/>
  <c r="H204" i="1"/>
  <c r="H6" i="1"/>
  <c r="H92" i="1"/>
  <c r="H145" i="1"/>
  <c r="H183" i="1"/>
  <c r="H99" i="1"/>
  <c r="H102" i="1"/>
  <c r="H143" i="1"/>
  <c r="H80" i="1"/>
  <c r="H73" i="1"/>
  <c r="H152" i="1"/>
  <c r="H162" i="1"/>
  <c r="H173" i="1"/>
  <c r="H160" i="1"/>
  <c r="H203" i="1"/>
  <c r="H26" i="1"/>
  <c r="H192" i="1"/>
  <c r="H164" i="1"/>
  <c r="H122" i="1"/>
  <c r="H170" i="1"/>
  <c r="H137" i="1"/>
  <c r="H11" i="1"/>
  <c r="H149" i="1"/>
  <c r="H177" i="1"/>
  <c r="H194" i="1"/>
  <c r="H62" i="1"/>
  <c r="H38" i="1"/>
  <c r="H65" i="1"/>
  <c r="H86" i="1"/>
  <c r="H16" i="1"/>
  <c r="H59" i="1"/>
  <c r="H84" i="1"/>
  <c r="H114" i="1"/>
  <c r="H36" i="1"/>
  <c r="H44" i="1"/>
  <c r="H151" i="1"/>
  <c r="H33" i="1"/>
  <c r="H21" i="1"/>
  <c r="H13" i="1"/>
  <c r="H96" i="1"/>
  <c r="H29" i="1"/>
  <c r="H166" i="1"/>
  <c r="H37" i="1"/>
  <c r="H49" i="1"/>
  <c r="H189" i="1"/>
  <c r="H161" i="1"/>
  <c r="H28" i="1"/>
  <c r="H22" i="1"/>
  <c r="H2" i="1"/>
  <c r="H150" i="1"/>
  <c r="H5" i="1"/>
  <c r="H58" i="1"/>
  <c r="H68" i="1"/>
  <c r="H127" i="1"/>
  <c r="H45" i="1"/>
  <c r="H50" i="1"/>
  <c r="H20" i="1"/>
  <c r="H104" i="1"/>
  <c r="H17" i="1"/>
  <c r="H201" i="1"/>
  <c r="H198" i="1"/>
  <c r="H200" i="1"/>
  <c r="H191" i="1"/>
  <c r="H100" i="1"/>
  <c r="H178" i="1"/>
  <c r="H132" i="1"/>
  <c r="H57" i="1"/>
  <c r="H113" i="1"/>
  <c r="H136" i="1"/>
  <c r="H55" i="1"/>
  <c r="H72" i="1"/>
  <c r="H119" i="1"/>
  <c r="H156" i="1"/>
  <c r="H185" i="1"/>
  <c r="H77" i="1"/>
  <c r="H190" i="1"/>
  <c r="H95" i="1"/>
  <c r="H32" i="1"/>
  <c r="H125" i="1"/>
  <c r="H169" i="1"/>
  <c r="H139" i="1"/>
  <c r="H8" i="1"/>
  <c r="H7" i="1"/>
  <c r="H111" i="1"/>
  <c r="H108" i="1"/>
  <c r="H131" i="1"/>
  <c r="H51" i="1"/>
  <c r="H116" i="1"/>
  <c r="H147" i="1"/>
  <c r="H121" i="1"/>
  <c r="H109" i="1"/>
  <c r="H154" i="1"/>
  <c r="H54" i="1"/>
  <c r="H165" i="1"/>
  <c r="H35" i="1"/>
  <c r="H23" i="1"/>
  <c r="H52" i="1"/>
  <c r="H47" i="1"/>
  <c r="H208" i="1"/>
  <c r="H9" i="1"/>
  <c r="H87" i="1"/>
  <c r="H130" i="1"/>
  <c r="H117" i="1"/>
  <c r="H85" i="1"/>
  <c r="H105" i="1"/>
  <c r="H64" i="1"/>
  <c r="H141" i="1"/>
  <c r="H40" i="1"/>
  <c r="H206" i="1"/>
  <c r="H63" i="1"/>
  <c r="H205" i="1"/>
  <c r="H69" i="1"/>
  <c r="H193" i="1"/>
  <c r="H175" i="1"/>
  <c r="H209" i="1"/>
  <c r="H112" i="1"/>
  <c r="H134" i="1"/>
  <c r="H56" i="1"/>
  <c r="H70" i="1"/>
  <c r="H67" i="1"/>
  <c r="H167" i="1"/>
  <c r="H186" i="1"/>
  <c r="H197" i="1"/>
  <c r="H27" i="1"/>
  <c r="G176" i="2"/>
  <c r="G193" i="2"/>
  <c r="G185" i="2"/>
  <c r="G177" i="2"/>
  <c r="G100" i="2"/>
  <c r="G199" i="2"/>
  <c r="G57" i="2"/>
  <c r="G120" i="2"/>
  <c r="G117" i="2"/>
  <c r="G79" i="2"/>
  <c r="G41" i="2"/>
  <c r="G152" i="2"/>
  <c r="G150" i="2"/>
  <c r="G9" i="2"/>
  <c r="G184" i="2"/>
  <c r="G30" i="2"/>
  <c r="G204" i="2"/>
  <c r="G81" i="2"/>
  <c r="G132" i="2"/>
  <c r="G80" i="2"/>
  <c r="G167" i="2"/>
  <c r="G70" i="2"/>
  <c r="G154" i="2"/>
  <c r="G207" i="2"/>
  <c r="G102" i="2"/>
  <c r="G170" i="2"/>
  <c r="G17" i="2"/>
  <c r="G109" i="2"/>
  <c r="G123" i="2"/>
  <c r="G22" i="2"/>
  <c r="G112" i="2"/>
  <c r="G135" i="2"/>
  <c r="G162" i="2"/>
  <c r="G82" i="2"/>
  <c r="G122" i="2"/>
  <c r="G125" i="2"/>
  <c r="G107" i="2"/>
  <c r="G171" i="2"/>
  <c r="G83" i="2"/>
  <c r="G89" i="2"/>
  <c r="G20" i="2"/>
  <c r="G45" i="2"/>
  <c r="G8" i="2"/>
  <c r="G10" i="2"/>
  <c r="G78" i="2"/>
  <c r="G88" i="2"/>
  <c r="G161" i="2"/>
  <c r="G169" i="2"/>
  <c r="G189" i="2"/>
  <c r="G90" i="2"/>
  <c r="G121" i="2"/>
  <c r="G145" i="2"/>
  <c r="G146" i="2"/>
  <c r="G136" i="2"/>
  <c r="G160" i="2"/>
  <c r="G72" i="2"/>
  <c r="G188" i="2"/>
  <c r="G86" i="2"/>
  <c r="G164" i="2"/>
  <c r="G190" i="2"/>
  <c r="G194" i="2"/>
  <c r="G175" i="2"/>
  <c r="G49" i="2"/>
  <c r="G113" i="2"/>
  <c r="G23" i="2"/>
  <c r="G40" i="2"/>
  <c r="G31" i="2"/>
  <c r="G87" i="2"/>
  <c r="G75" i="2"/>
  <c r="G47" i="2"/>
  <c r="G4" i="2"/>
  <c r="G118" i="2"/>
  <c r="G26" i="2"/>
  <c r="G69" i="2"/>
  <c r="G147" i="2"/>
  <c r="G133" i="2"/>
  <c r="G195" i="2"/>
  <c r="G29" i="2"/>
  <c r="G99" i="2"/>
  <c r="G62" i="2"/>
  <c r="G149" i="2"/>
  <c r="G93" i="2"/>
  <c r="G46" i="2"/>
  <c r="G111" i="2"/>
  <c r="G106" i="2"/>
  <c r="G140" i="2"/>
  <c r="G27" i="2"/>
  <c r="G144" i="2"/>
  <c r="G101" i="2"/>
  <c r="G54" i="2"/>
  <c r="G24" i="2"/>
  <c r="G134" i="2"/>
  <c r="G48" i="2"/>
  <c r="G35" i="2"/>
  <c r="G37" i="2"/>
  <c r="G21" i="2"/>
  <c r="G28" i="2"/>
  <c r="G56" i="2"/>
  <c r="G64" i="2"/>
  <c r="G2" i="2"/>
  <c r="G105" i="2"/>
  <c r="G3" i="2"/>
  <c r="G129" i="2"/>
  <c r="G13" i="2"/>
  <c r="G128" i="2"/>
  <c r="G179" i="2"/>
  <c r="G115" i="2"/>
  <c r="G126" i="2"/>
  <c r="G124" i="2"/>
  <c r="G116" i="2"/>
  <c r="G85" i="2"/>
  <c r="G51" i="2"/>
  <c r="G137" i="2"/>
  <c r="G36" i="2"/>
  <c r="G119" i="2"/>
  <c r="G110" i="2"/>
  <c r="G143" i="2"/>
  <c r="G38" i="2"/>
  <c r="G198" i="2"/>
  <c r="G205" i="2"/>
  <c r="G191" i="2"/>
  <c r="G196" i="2"/>
  <c r="G34" i="2"/>
  <c r="G173" i="2"/>
  <c r="G200" i="2"/>
  <c r="G139" i="2"/>
  <c r="G5" i="2"/>
  <c r="G15" i="2"/>
  <c r="G61" i="2"/>
  <c r="G11" i="2"/>
  <c r="G178" i="2"/>
  <c r="G96" i="2"/>
  <c r="G192" i="2"/>
  <c r="G77" i="2"/>
  <c r="G201" i="2"/>
  <c r="G58" i="2"/>
  <c r="G18" i="2"/>
  <c r="G206" i="2"/>
  <c r="G65" i="2"/>
  <c r="G66" i="2"/>
  <c r="G95" i="2"/>
  <c r="G166" i="2"/>
  <c r="G52" i="2"/>
  <c r="G60" i="2"/>
  <c r="G127" i="2"/>
  <c r="G172" i="2"/>
  <c r="G39" i="2"/>
  <c r="G168" i="2"/>
  <c r="G108" i="2"/>
  <c r="G197" i="2"/>
  <c r="G42" i="2"/>
  <c r="G203" i="2"/>
  <c r="G71" i="2"/>
  <c r="G159" i="2"/>
  <c r="G32" i="2"/>
  <c r="G186" i="2"/>
  <c r="G84" i="2"/>
  <c r="G67" i="2"/>
  <c r="G174" i="2"/>
  <c r="G153" i="2"/>
  <c r="G156" i="2"/>
  <c r="G130" i="2"/>
  <c r="G103" i="2"/>
  <c r="G114" i="2"/>
  <c r="G76" i="2"/>
  <c r="G63" i="2"/>
  <c r="G182" i="2"/>
  <c r="G44" i="2"/>
  <c r="G202" i="2"/>
  <c r="G59" i="2"/>
  <c r="G148" i="2"/>
  <c r="G33" i="2"/>
  <c r="G165" i="2"/>
  <c r="G53" i="2"/>
  <c r="G19" i="2"/>
  <c r="G91" i="2"/>
  <c r="G25" i="2"/>
  <c r="G73" i="2"/>
  <c r="G43" i="2"/>
  <c r="G187" i="2"/>
  <c r="G131" i="2"/>
  <c r="G104" i="2"/>
  <c r="G138" i="2"/>
  <c r="G183" i="2"/>
  <c r="G141" i="2"/>
  <c r="G7" i="2"/>
  <c r="G155" i="2"/>
  <c r="G50" i="2"/>
  <c r="G181" i="2"/>
  <c r="G6" i="2"/>
  <c r="G151" i="2"/>
  <c r="G158" i="2"/>
  <c r="G180" i="2"/>
  <c r="G94" i="2"/>
  <c r="G142" i="2"/>
  <c r="G92" i="2"/>
  <c r="G55" i="2"/>
  <c r="G74" i="2"/>
  <c r="G12" i="2"/>
  <c r="G157" i="2"/>
  <c r="G16" i="2"/>
  <c r="G14" i="2"/>
  <c r="G68" i="2"/>
  <c r="G163" i="2"/>
  <c r="G98" i="2"/>
  <c r="G97" i="2"/>
  <c r="G27" i="1"/>
  <c r="G197" i="1"/>
  <c r="G186" i="1"/>
  <c r="G167" i="1"/>
  <c r="G67" i="1"/>
  <c r="G70" i="1"/>
  <c r="G56" i="1"/>
  <c r="G134" i="1"/>
  <c r="G112" i="1"/>
  <c r="G209" i="1"/>
  <c r="G175" i="1"/>
  <c r="G193" i="1"/>
  <c r="G69" i="1"/>
  <c r="G205" i="1"/>
  <c r="G63" i="1"/>
  <c r="G206" i="1"/>
  <c r="G40" i="1"/>
  <c r="G141" i="1"/>
  <c r="G64" i="1"/>
  <c r="G105" i="1"/>
  <c r="G85" i="1"/>
  <c r="G117" i="1"/>
  <c r="G130" i="1"/>
  <c r="G87" i="1"/>
  <c r="G9" i="1"/>
  <c r="G208" i="1"/>
  <c r="G47" i="1"/>
  <c r="G52" i="1"/>
  <c r="G138" i="1"/>
  <c r="G165" i="1"/>
  <c r="G144" i="1"/>
  <c r="G154" i="1"/>
  <c r="G109" i="1"/>
  <c r="G121" i="1"/>
  <c r="G147" i="1"/>
  <c r="G116" i="1"/>
  <c r="G51" i="1"/>
  <c r="G131" i="1"/>
  <c r="G108" i="1"/>
  <c r="G111" i="1"/>
  <c r="G46" i="1"/>
  <c r="G139" i="1"/>
  <c r="G90" i="1"/>
  <c r="G169" i="1"/>
  <c r="G125" i="1"/>
  <c r="G32" i="1"/>
  <c r="G95" i="1"/>
  <c r="G190" i="1"/>
  <c r="G77" i="1"/>
  <c r="G185" i="1"/>
  <c r="G156" i="1"/>
  <c r="G119" i="1"/>
  <c r="G72" i="1"/>
  <c r="G55" i="1"/>
  <c r="G136" i="1"/>
  <c r="G113" i="1"/>
  <c r="G57" i="1"/>
  <c r="G132" i="1"/>
  <c r="G178" i="1"/>
  <c r="G100" i="1"/>
  <c r="G191" i="1"/>
  <c r="G200" i="1"/>
  <c r="G198" i="1"/>
  <c r="G201" i="1"/>
  <c r="G17" i="1"/>
  <c r="G104" i="1"/>
  <c r="G20" i="1"/>
  <c r="G50" i="1"/>
  <c r="G45" i="1"/>
  <c r="G127" i="1"/>
  <c r="G68" i="1"/>
  <c r="G58" i="1"/>
  <c r="G5" i="1"/>
  <c r="G150" i="1"/>
  <c r="G2" i="1"/>
  <c r="G22" i="1"/>
  <c r="G28" i="1"/>
  <c r="G161" i="1"/>
  <c r="G189" i="1"/>
  <c r="G49" i="1"/>
  <c r="G37" i="1"/>
  <c r="G166" i="1"/>
  <c r="G29" i="1"/>
  <c r="G96" i="1"/>
  <c r="G33" i="1"/>
  <c r="G151" i="1"/>
  <c r="G8" i="1"/>
  <c r="G89" i="1"/>
  <c r="G36" i="1"/>
  <c r="G114" i="1"/>
  <c r="G84" i="1"/>
  <c r="G59" i="1"/>
  <c r="G16" i="1"/>
  <c r="G86" i="1"/>
  <c r="G65" i="1"/>
  <c r="G38" i="1"/>
  <c r="G62" i="1"/>
  <c r="G194" i="1"/>
  <c r="G177" i="1"/>
  <c r="G149" i="1"/>
  <c r="G101" i="1"/>
  <c r="G137" i="1"/>
  <c r="G170" i="1"/>
  <c r="G122" i="1"/>
  <c r="G164" i="1"/>
  <c r="G192" i="1"/>
  <c r="G26" i="1"/>
  <c r="G203" i="1"/>
  <c r="G160" i="1"/>
  <c r="G173" i="1"/>
  <c r="G162" i="1"/>
  <c r="G152" i="1"/>
  <c r="G73" i="1"/>
  <c r="G80" i="1"/>
  <c r="G143" i="1"/>
  <c r="G102" i="1"/>
  <c r="G99" i="1"/>
  <c r="G183" i="1"/>
  <c r="G145" i="1"/>
  <c r="G92" i="1"/>
  <c r="G6" i="1"/>
  <c r="G204" i="1"/>
  <c r="G188" i="1"/>
  <c r="G195" i="1"/>
  <c r="G74" i="1"/>
  <c r="G12" i="1"/>
  <c r="G168" i="1"/>
  <c r="G61" i="1"/>
  <c r="G31" i="1"/>
  <c r="G11" i="1"/>
  <c r="G34" i="1"/>
  <c r="G30" i="1"/>
  <c r="G39" i="1"/>
  <c r="G163" i="1"/>
  <c r="G83" i="1"/>
  <c r="G115" i="1"/>
  <c r="G159" i="1"/>
  <c r="G184" i="1"/>
  <c r="G202" i="1"/>
  <c r="G157" i="1"/>
  <c r="G107" i="1"/>
  <c r="G148" i="1"/>
  <c r="G135" i="1"/>
  <c r="G140" i="1"/>
  <c r="G75" i="1"/>
  <c r="G88" i="1"/>
  <c r="G182" i="1"/>
  <c r="G41" i="1"/>
  <c r="G129" i="1"/>
  <c r="G106" i="1"/>
  <c r="G196" i="1"/>
  <c r="G48" i="1"/>
  <c r="G79" i="1"/>
  <c r="G172" i="1"/>
  <c r="G98" i="1"/>
  <c r="G78" i="1"/>
  <c r="G81" i="1"/>
  <c r="G118" i="1"/>
  <c r="G93" i="1"/>
  <c r="G133" i="1"/>
  <c r="G7" i="1"/>
  <c r="G97" i="1"/>
  <c r="G13" i="1"/>
  <c r="G21" i="1"/>
  <c r="G10" i="1"/>
  <c r="G71" i="1"/>
  <c r="G15" i="1"/>
  <c r="G18" i="1"/>
  <c r="G82" i="1"/>
  <c r="G128" i="1"/>
  <c r="G174" i="1"/>
  <c r="G103" i="1"/>
  <c r="G24" i="1"/>
  <c r="G94" i="1"/>
  <c r="G110" i="1"/>
  <c r="G42" i="1"/>
  <c r="G66" i="1"/>
  <c r="G181" i="1"/>
  <c r="G207" i="1"/>
  <c r="G142" i="1"/>
  <c r="G44" i="1"/>
  <c r="G180" i="1"/>
  <c r="G76" i="1"/>
  <c r="G171" i="1"/>
  <c r="G54" i="1"/>
  <c r="G23" i="1"/>
  <c r="G153" i="1"/>
  <c r="G35" i="1"/>
  <c r="G199" i="1"/>
  <c r="G158" i="1"/>
  <c r="G187" i="1"/>
  <c r="G179" i="1"/>
  <c r="G53" i="1"/>
  <c r="G155" i="1"/>
  <c r="G120" i="1"/>
  <c r="G91" i="1"/>
  <c r="G43" i="1"/>
  <c r="G123" i="1"/>
  <c r="G176" i="1"/>
  <c r="G126" i="1"/>
  <c r="G4" i="1"/>
  <c r="G60" i="1"/>
  <c r="G3" i="1"/>
  <c r="G25" i="1"/>
  <c r="G19" i="1"/>
  <c r="G146" i="1"/>
  <c r="G14" i="1"/>
  <c r="G124" i="1"/>
  <c r="K3" i="2" l="1"/>
  <c r="K5" i="2"/>
  <c r="K4" i="2"/>
  <c r="K2" i="2"/>
  <c r="K6" i="3"/>
  <c r="K5" i="3"/>
  <c r="K4" i="3"/>
  <c r="K3" i="3"/>
  <c r="K5" i="1"/>
  <c r="K4" i="1"/>
  <c r="K2" i="1"/>
  <c r="K3" i="1"/>
</calcChain>
</file>

<file path=xl/sharedStrings.xml><?xml version="1.0" encoding="utf-8"?>
<sst xmlns="http://schemas.openxmlformats.org/spreadsheetml/2006/main" count="1653" uniqueCount="23">
  <si>
    <t>Segment ID</t>
  </si>
  <si>
    <t>Group Label</t>
  </si>
  <si>
    <t>Avg Difference (min)</t>
  </si>
  <si>
    <t>T-stat</t>
  </si>
  <si>
    <t>P-value</t>
  </si>
  <si>
    <t>N bins</t>
  </si>
  <si>
    <t>Monâ€“Thu, 2:00PM-7:00PM</t>
  </si>
  <si>
    <t>Monâ€“Thu, 6:20AM-9:00AM</t>
  </si>
  <si>
    <t>Monâ€“Thu, 7:00PM-9:00PM</t>
  </si>
  <si>
    <t>Monâ€“Thu, 9:00AM-2:00PM</t>
  </si>
  <si>
    <t>Approach</t>
  </si>
  <si>
    <t>Diff seconds</t>
  </si>
  <si>
    <t>Diff Seconds</t>
  </si>
  <si>
    <t>SB</t>
  </si>
  <si>
    <t>NB</t>
  </si>
  <si>
    <t>EB</t>
  </si>
  <si>
    <t>WB</t>
  </si>
  <si>
    <t>Sun, 9:30AM-7:00PM</t>
  </si>
  <si>
    <t>Sun, 8:00AM-9:30AM</t>
  </si>
  <si>
    <t>Sun, 7:00PM-9:00PM</t>
  </si>
  <si>
    <t>Sat, 9:30AM-7:00PM</t>
  </si>
  <si>
    <t>Sat, 8:00AM-9:30AM</t>
  </si>
  <si>
    <t>Sat, 7:00PM-9:00PM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</si>
</sst>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hansen\Documents\Python\SPMs\Inrix\inrix_key.csv" TargetMode="External"/><Relationship Id="rId1" Type="http://schemas.openxmlformats.org/officeDocument/2006/relationships/externalLinkPath" Target="/Users/rhansen/Documents/Python/SPMs/Inrix/inrix_key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rix_key"/>
    </sheetNames>
    <sheetDataSet>
      <sheetData sheetId="0">
        <row r="1">
          <cell r="A1" t="str">
            <v>Segment ID</v>
          </cell>
          <cell r="B1" t="str">
            <v>Direction</v>
          </cell>
          <cell r="C1" t="str">
            <v>Int_App</v>
          </cell>
        </row>
        <row r="2">
          <cell r="A2">
            <v>448695751</v>
          </cell>
          <cell r="B2" t="str">
            <v>S</v>
          </cell>
          <cell r="C2" t="str">
            <v>Riverside_N</v>
          </cell>
        </row>
        <row r="3">
          <cell r="A3">
            <v>448695752</v>
          </cell>
          <cell r="B3" t="str">
            <v>S</v>
          </cell>
          <cell r="C3" t="str">
            <v>IslandWood_N</v>
          </cell>
        </row>
        <row r="4">
          <cell r="A4">
            <v>448695754</v>
          </cell>
          <cell r="B4" t="str">
            <v>N</v>
          </cell>
          <cell r="C4" t="str">
            <v>State_S</v>
          </cell>
        </row>
        <row r="5">
          <cell r="A5">
            <v>1187333605</v>
          </cell>
          <cell r="B5" t="str">
            <v>S</v>
          </cell>
          <cell r="C5" t="str">
            <v>Colchester_N</v>
          </cell>
        </row>
        <row r="6">
          <cell r="A6">
            <v>448695753</v>
          </cell>
          <cell r="B6" t="str">
            <v>N</v>
          </cell>
          <cell r="C6" t="str">
            <v>Riverside_S</v>
          </cell>
        </row>
        <row r="7">
          <cell r="A7">
            <v>117772024</v>
          </cell>
          <cell r="B7" t="str">
            <v>E</v>
          </cell>
          <cell r="C7" t="str">
            <v>IslandWood_W</v>
          </cell>
        </row>
        <row r="8">
          <cell r="A8">
            <v>119241469</v>
          </cell>
          <cell r="B8" t="str">
            <v>E</v>
          </cell>
          <cell r="C8" t="str">
            <v>Colchester_W</v>
          </cell>
        </row>
        <row r="9">
          <cell r="A9">
            <v>1187466896</v>
          </cell>
          <cell r="B9" t="str">
            <v>N</v>
          </cell>
          <cell r="C9" t="str">
            <v>IslandWood_S</v>
          </cell>
        </row>
        <row r="10">
          <cell r="A10">
            <v>1187333665</v>
          </cell>
          <cell r="B10" t="str">
            <v>S</v>
          </cell>
          <cell r="C10" t="str">
            <v>Chinden_N</v>
          </cell>
        </row>
        <row r="11">
          <cell r="A11">
            <v>119269713</v>
          </cell>
          <cell r="B11" t="str">
            <v>W</v>
          </cell>
          <cell r="C11" t="str">
            <v>Colchester_E</v>
          </cell>
        </row>
        <row r="12">
          <cell r="A12">
            <v>1187466917</v>
          </cell>
          <cell r="B12" t="str">
            <v>N</v>
          </cell>
          <cell r="C12" t="str">
            <v>Colchester_S</v>
          </cell>
        </row>
        <row r="13">
          <cell r="A13">
            <v>1187532837</v>
          </cell>
          <cell r="B13" t="str">
            <v>S</v>
          </cell>
          <cell r="C13" t="str">
            <v>HobbleCreek_N</v>
          </cell>
        </row>
        <row r="14">
          <cell r="A14">
            <v>1187577122</v>
          </cell>
          <cell r="B14" t="str">
            <v>W</v>
          </cell>
          <cell r="C14" t="str">
            <v>Chinden_E</v>
          </cell>
        </row>
        <row r="15">
          <cell r="A15">
            <v>1187612015</v>
          </cell>
          <cell r="B15" t="str">
            <v>E</v>
          </cell>
          <cell r="C15" t="str">
            <v>Chinden_W</v>
          </cell>
        </row>
        <row r="16">
          <cell r="A16">
            <v>119501618</v>
          </cell>
          <cell r="B16" t="str">
            <v>S</v>
          </cell>
          <cell r="C16" t="str">
            <v>McMillan_N</v>
          </cell>
        </row>
        <row r="17">
          <cell r="A17">
            <v>448725599</v>
          </cell>
          <cell r="B17" t="str">
            <v>N</v>
          </cell>
          <cell r="C17" t="str">
            <v>Chinden_S</v>
          </cell>
        </row>
        <row r="18">
          <cell r="A18">
            <v>1187549053</v>
          </cell>
          <cell r="B18" t="str">
            <v>N</v>
          </cell>
          <cell r="C18" t="str">
            <v>HobbleCreek_S</v>
          </cell>
        </row>
        <row r="19">
          <cell r="A19">
            <v>1187334983</v>
          </cell>
          <cell r="B19" t="str">
            <v>S</v>
          </cell>
          <cell r="C19" t="str">
            <v>Wainwright_N</v>
          </cell>
        </row>
        <row r="20">
          <cell r="A20">
            <v>474871675</v>
          </cell>
          <cell r="B20" t="str">
            <v>W</v>
          </cell>
          <cell r="C20" t="str">
            <v>McMillan_E</v>
          </cell>
        </row>
        <row r="21">
          <cell r="A21">
            <v>384121516</v>
          </cell>
          <cell r="B21" t="str">
            <v>E</v>
          </cell>
          <cell r="C21" t="str">
            <v>McMillan_W</v>
          </cell>
        </row>
        <row r="22">
          <cell r="A22">
            <v>1187335042</v>
          </cell>
          <cell r="B22" t="str">
            <v>S</v>
          </cell>
          <cell r="C22" t="str">
            <v>Ustick_N</v>
          </cell>
        </row>
        <row r="23">
          <cell r="A23">
            <v>1187548987</v>
          </cell>
          <cell r="B23" t="str">
            <v>N</v>
          </cell>
          <cell r="C23" t="str">
            <v>McMillan_S</v>
          </cell>
        </row>
        <row r="24">
          <cell r="A24">
            <v>448725597</v>
          </cell>
          <cell r="B24" t="str">
            <v>W</v>
          </cell>
          <cell r="C24" t="str">
            <v>Ustick_E</v>
          </cell>
        </row>
        <row r="25">
          <cell r="A25">
            <v>1187517040</v>
          </cell>
          <cell r="B25" t="str">
            <v>N</v>
          </cell>
          <cell r="C25" t="str">
            <v>Wainwright_S</v>
          </cell>
        </row>
        <row r="26">
          <cell r="A26">
            <v>448697010</v>
          </cell>
          <cell r="B26" t="str">
            <v>S</v>
          </cell>
          <cell r="C26" t="str">
            <v>RiverValley_N</v>
          </cell>
        </row>
        <row r="27">
          <cell r="A27">
            <v>448694757</v>
          </cell>
          <cell r="B27" t="str">
            <v>E</v>
          </cell>
          <cell r="C27" t="str">
            <v>Ustick_W</v>
          </cell>
        </row>
        <row r="28">
          <cell r="A28">
            <v>448697009</v>
          </cell>
          <cell r="B28" t="str">
            <v>N</v>
          </cell>
          <cell r="C28" t="str">
            <v>Ustick_S</v>
          </cell>
        </row>
        <row r="29">
          <cell r="A29">
            <v>448697011</v>
          </cell>
          <cell r="B29" t="str">
            <v>S</v>
          </cell>
          <cell r="C29" t="str">
            <v>Fairview_N</v>
          </cell>
        </row>
        <row r="30">
          <cell r="A30">
            <v>1187654609</v>
          </cell>
          <cell r="B30" t="str">
            <v>S</v>
          </cell>
          <cell r="C30" t="str">
            <v>Pine_N</v>
          </cell>
        </row>
        <row r="31">
          <cell r="A31">
            <v>448697008</v>
          </cell>
          <cell r="B31" t="str">
            <v>N</v>
          </cell>
          <cell r="C31" t="str">
            <v>RiverValley_S</v>
          </cell>
        </row>
        <row r="32">
          <cell r="A32">
            <v>1187579027</v>
          </cell>
          <cell r="B32" t="str">
            <v>W</v>
          </cell>
          <cell r="C32" t="str">
            <v>Fairview_E</v>
          </cell>
        </row>
        <row r="33">
          <cell r="A33">
            <v>448694747</v>
          </cell>
          <cell r="B33" t="str">
            <v>E</v>
          </cell>
          <cell r="C33" t="str">
            <v>Fairview_W</v>
          </cell>
        </row>
        <row r="34">
          <cell r="A34">
            <v>1187548947</v>
          </cell>
          <cell r="B34" t="str">
            <v>N</v>
          </cell>
          <cell r="C34" t="str">
            <v>Fairview_S</v>
          </cell>
        </row>
        <row r="35">
          <cell r="A35">
            <v>1187654588</v>
          </cell>
          <cell r="B35" t="str">
            <v>S</v>
          </cell>
          <cell r="C35" t="str">
            <v>Franklin_N</v>
          </cell>
        </row>
        <row r="36">
          <cell r="A36">
            <v>484366819</v>
          </cell>
          <cell r="B36" t="str">
            <v>W</v>
          </cell>
          <cell r="C36" t="str">
            <v>Pine_E</v>
          </cell>
        </row>
        <row r="37">
          <cell r="A37">
            <v>484371307</v>
          </cell>
          <cell r="B37" t="str">
            <v>W</v>
          </cell>
          <cell r="C37" t="str">
            <v>Pine_E</v>
          </cell>
        </row>
        <row r="38">
          <cell r="A38">
            <v>384139881</v>
          </cell>
          <cell r="B38" t="str">
            <v>E</v>
          </cell>
          <cell r="C38" t="str">
            <v>Pine_W</v>
          </cell>
        </row>
        <row r="39">
          <cell r="A39">
            <v>484347992</v>
          </cell>
          <cell r="B39" t="str">
            <v>N</v>
          </cell>
        </row>
        <row r="40">
          <cell r="A40">
            <v>1187548975</v>
          </cell>
          <cell r="B40" t="str">
            <v>N</v>
          </cell>
          <cell r="C40" t="str">
            <v>Pine_S</v>
          </cell>
        </row>
        <row r="41">
          <cell r="A41">
            <v>448697006</v>
          </cell>
          <cell r="B41" t="str">
            <v>S</v>
          </cell>
          <cell r="C41" t="str">
            <v>StLukes_N</v>
          </cell>
        </row>
        <row r="42">
          <cell r="A42">
            <v>117503882</v>
          </cell>
          <cell r="B42" t="str">
            <v>W</v>
          </cell>
          <cell r="C42" t="str">
            <v>Franklin_E</v>
          </cell>
        </row>
        <row r="43">
          <cell r="A43">
            <v>1187327938</v>
          </cell>
          <cell r="B43" t="str">
            <v>E</v>
          </cell>
          <cell r="C43" t="str">
            <v>Franklin_W</v>
          </cell>
        </row>
        <row r="44">
          <cell r="A44">
            <v>448725596</v>
          </cell>
          <cell r="B44" t="str">
            <v>N</v>
          </cell>
          <cell r="C44" t="str">
            <v>Franklin_S</v>
          </cell>
        </row>
        <row r="45">
          <cell r="A45">
            <v>448697007</v>
          </cell>
          <cell r="B45" t="str">
            <v>S</v>
          </cell>
          <cell r="C45" t="str">
            <v>WB_N</v>
          </cell>
        </row>
        <row r="46">
          <cell r="A46">
            <v>448725595</v>
          </cell>
          <cell r="B46" t="str">
            <v>N</v>
          </cell>
          <cell r="C46" t="str">
            <v>StLukes_S</v>
          </cell>
        </row>
        <row r="47">
          <cell r="A47">
            <v>1187636735</v>
          </cell>
          <cell r="B47" t="str">
            <v>W</v>
          </cell>
          <cell r="C47" t="str">
            <v>WB_E</v>
          </cell>
        </row>
        <row r="48">
          <cell r="A48">
            <v>1187635580</v>
          </cell>
          <cell r="B48" t="str">
            <v>N</v>
          </cell>
          <cell r="C48" t="str">
            <v>WB_S</v>
          </cell>
        </row>
        <row r="49">
          <cell r="A49">
            <v>428958434</v>
          </cell>
          <cell r="B49" t="str">
            <v>S</v>
          </cell>
        </row>
        <row r="50">
          <cell r="A50">
            <v>1187586311</v>
          </cell>
          <cell r="B50" t="str">
            <v>E</v>
          </cell>
          <cell r="C50" t="str">
            <v>EB_W</v>
          </cell>
        </row>
        <row r="51">
          <cell r="A51">
            <v>428958435</v>
          </cell>
          <cell r="B51" t="str">
            <v>N</v>
          </cell>
        </row>
        <row r="52">
          <cell r="A52">
            <v>428958433</v>
          </cell>
          <cell r="B52" t="str">
            <v>N</v>
          </cell>
          <cell r="C52" t="str">
            <v>EB_S</v>
          </cell>
        </row>
        <row r="53">
          <cell r="A53">
            <v>1187377510</v>
          </cell>
          <cell r="B53" t="str">
            <v>N</v>
          </cell>
          <cell r="C53" t="str">
            <v>EB_S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17E0-0906-4478-9A63-5AC0171B6035}">
  <dimension ref="A1:K511"/>
  <sheetViews>
    <sheetView workbookViewId="0">
      <selection activeCell="K2" sqref="K2:K5"/>
    </sheetView>
  </sheetViews>
  <sheetFormatPr defaultRowHeight="15" x14ac:dyDescent="0.25"/>
  <cols>
    <col min="2" max="2" width="26" bestFit="1" customWidth="1"/>
    <col min="7" max="7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</row>
    <row r="2" spans="1:11" x14ac:dyDescent="0.25">
      <c r="A2">
        <v>448697008</v>
      </c>
      <c r="B2" t="s">
        <v>8</v>
      </c>
      <c r="C2">
        <v>-0.23406067251461901</v>
      </c>
      <c r="D2">
        <v>-21.262050387038801</v>
      </c>
      <c r="E2" s="1">
        <v>1.28166653932115E-7</v>
      </c>
      <c r="F2">
        <v>8</v>
      </c>
      <c r="G2" t="str">
        <f>VLOOKUP(A2,[1]inrix_key!$A:$C,3,FALSE)</f>
        <v>RiverValley_S</v>
      </c>
      <c r="H2">
        <f t="shared" ref="H2:H65" si="0">60*C2</f>
        <v>-14.043640350877141</v>
      </c>
      <c r="J2" t="s">
        <v>13</v>
      </c>
      <c r="K2">
        <f>AVERAGEIF(G:G,"*_N*",H:H)</f>
        <v>-2.5350906747534174</v>
      </c>
    </row>
    <row r="3" spans="1:11" x14ac:dyDescent="0.25">
      <c r="A3">
        <v>1187654588</v>
      </c>
      <c r="B3" t="s">
        <v>8</v>
      </c>
      <c r="C3">
        <v>-0.19891812865496999</v>
      </c>
      <c r="D3">
        <v>-8.6433842734058697</v>
      </c>
      <c r="E3" s="1">
        <v>5.5445179308607101E-5</v>
      </c>
      <c r="F3">
        <v>8</v>
      </c>
      <c r="G3" t="str">
        <f>VLOOKUP(A3,[1]inrix_key!$A:$C,3,FALSE)</f>
        <v>Franklin_N</v>
      </c>
      <c r="H3">
        <f t="shared" si="0"/>
        <v>-11.935087719298199</v>
      </c>
      <c r="J3" t="s">
        <v>14</v>
      </c>
      <c r="K3">
        <f>AVERAGEIF(G:G,"*_S*",H:H)</f>
        <v>-1.8136023917434356</v>
      </c>
    </row>
    <row r="4" spans="1:11" x14ac:dyDescent="0.25">
      <c r="A4">
        <v>1187654588</v>
      </c>
      <c r="B4" t="s">
        <v>6</v>
      </c>
      <c r="C4">
        <v>-0.17754678362573101</v>
      </c>
      <c r="D4">
        <v>-13.2664623501976</v>
      </c>
      <c r="E4" s="1">
        <v>4.6747267974103902E-11</v>
      </c>
      <c r="F4">
        <v>20</v>
      </c>
      <c r="G4" t="str">
        <f>VLOOKUP(A4,[1]inrix_key!$A:$C,3,FALSE)</f>
        <v>Franklin_N</v>
      </c>
      <c r="H4">
        <f t="shared" si="0"/>
        <v>-10.652807017543861</v>
      </c>
      <c r="J4" t="s">
        <v>15</v>
      </c>
      <c r="K4">
        <f>AVERAGEIF(G:G,"*_W*",H:H)</f>
        <v>-0.1924821057194436</v>
      </c>
    </row>
    <row r="5" spans="1:11" x14ac:dyDescent="0.25">
      <c r="A5">
        <v>448697008</v>
      </c>
      <c r="B5" t="s">
        <v>6</v>
      </c>
      <c r="C5">
        <v>-0.16789473684210501</v>
      </c>
      <c r="D5">
        <v>-23.526515004409699</v>
      </c>
      <c r="E5" s="1">
        <v>1.6322529390392399E-15</v>
      </c>
      <c r="F5">
        <v>20</v>
      </c>
      <c r="G5" t="str">
        <f>VLOOKUP(A5,[1]inrix_key!$A:$C,3,FALSE)</f>
        <v>RiverValley_S</v>
      </c>
      <c r="H5">
        <f t="shared" si="0"/>
        <v>-10.0736842105263</v>
      </c>
      <c r="J5" t="s">
        <v>16</v>
      </c>
      <c r="K5">
        <f>AVERAGEIF(G:G,"*_E*",H:H)</f>
        <v>0.44345023810313028</v>
      </c>
    </row>
    <row r="6" spans="1:11" x14ac:dyDescent="0.25">
      <c r="A6">
        <v>1187327938</v>
      </c>
      <c r="B6" t="s">
        <v>6</v>
      </c>
      <c r="C6">
        <v>-0.13421198830409301</v>
      </c>
      <c r="D6">
        <v>-12.0046292782454</v>
      </c>
      <c r="E6" s="1">
        <v>2.5740709019360701E-10</v>
      </c>
      <c r="F6">
        <v>20</v>
      </c>
      <c r="G6" t="str">
        <f>VLOOKUP(A6,[1]inrix_key!$A:$C,3,FALSE)</f>
        <v>Franklin_W</v>
      </c>
      <c r="H6">
        <f t="shared" si="0"/>
        <v>-8.0527192982455809</v>
      </c>
    </row>
    <row r="7" spans="1:11" x14ac:dyDescent="0.25">
      <c r="A7">
        <v>1187548947</v>
      </c>
      <c r="B7" t="s">
        <v>6</v>
      </c>
      <c r="C7">
        <v>-0.12430847953216299</v>
      </c>
      <c r="D7">
        <v>-17.322784802333899</v>
      </c>
      <c r="E7" s="1">
        <v>4.2658918455391399E-13</v>
      </c>
      <c r="F7">
        <v>20</v>
      </c>
      <c r="G7" t="str">
        <f>VLOOKUP(A7,[1]inrix_key!$A:$C,3,FALSE)</f>
        <v>Fairview_S</v>
      </c>
      <c r="H7">
        <f t="shared" si="0"/>
        <v>-7.4585087719297798</v>
      </c>
    </row>
    <row r="8" spans="1:11" x14ac:dyDescent="0.25">
      <c r="A8">
        <v>448697011</v>
      </c>
      <c r="B8" t="s">
        <v>8</v>
      </c>
      <c r="C8">
        <v>-0.12364766081871301</v>
      </c>
      <c r="D8">
        <v>-21.126528052931398</v>
      </c>
      <c r="E8" s="1">
        <v>1.3395190968724701E-7</v>
      </c>
      <c r="F8">
        <v>8</v>
      </c>
      <c r="G8" t="str">
        <f>VLOOKUP(A8,[1]inrix_key!$A:$C,3,FALSE)</f>
        <v>Fairview_N</v>
      </c>
      <c r="H8">
        <f t="shared" si="0"/>
        <v>-7.4188596491227807</v>
      </c>
    </row>
    <row r="9" spans="1:11" x14ac:dyDescent="0.25">
      <c r="A9">
        <v>384139881</v>
      </c>
      <c r="B9" t="s">
        <v>6</v>
      </c>
      <c r="C9">
        <v>-0.118744152046783</v>
      </c>
      <c r="D9">
        <v>-10.7781622945148</v>
      </c>
      <c r="E9" s="1">
        <v>1.5532920733546E-9</v>
      </c>
      <c r="F9">
        <v>20</v>
      </c>
      <c r="G9" t="str">
        <f>VLOOKUP(A9,[1]inrix_key!$A:$C,3,FALSE)</f>
        <v>Pine_W</v>
      </c>
      <c r="H9">
        <f t="shared" si="0"/>
        <v>-7.1246491228069804</v>
      </c>
    </row>
    <row r="10" spans="1:11" x14ac:dyDescent="0.25">
      <c r="A10">
        <v>1187548975</v>
      </c>
      <c r="B10" t="s">
        <v>6</v>
      </c>
      <c r="C10">
        <v>-0.11671345029239701</v>
      </c>
      <c r="D10">
        <v>-12.618158016174799</v>
      </c>
      <c r="E10" s="1">
        <v>1.1041177336937099E-10</v>
      </c>
      <c r="F10">
        <v>20</v>
      </c>
      <c r="G10" t="str">
        <f>VLOOKUP(A10,[1]inrix_key!$A:$C,3,FALSE)</f>
        <v>Pine_S</v>
      </c>
      <c r="H10">
        <f t="shared" si="0"/>
        <v>-7.0028070175438204</v>
      </c>
    </row>
    <row r="11" spans="1:11" x14ac:dyDescent="0.25">
      <c r="A11">
        <v>1187333665</v>
      </c>
      <c r="B11" t="s">
        <v>7</v>
      </c>
      <c r="C11">
        <v>-0.11528157644824299</v>
      </c>
      <c r="D11">
        <v>-3.7759610804910499</v>
      </c>
      <c r="E11">
        <v>5.4193062324637701E-3</v>
      </c>
      <c r="F11">
        <v>9</v>
      </c>
      <c r="G11" t="str">
        <f>VLOOKUP(A11,[1]inrix_key!$A:$C,3,FALSE)</f>
        <v>Chinden_N</v>
      </c>
      <c r="H11">
        <f t="shared" si="0"/>
        <v>-6.9168945868945801</v>
      </c>
    </row>
    <row r="12" spans="1:11" x14ac:dyDescent="0.25">
      <c r="A12">
        <v>1187333605</v>
      </c>
      <c r="B12" t="s">
        <v>7</v>
      </c>
      <c r="C12">
        <v>-0.109214783219685</v>
      </c>
      <c r="D12">
        <v>-9.2157477780019299</v>
      </c>
      <c r="E12" s="1">
        <v>1.5564150043737999E-5</v>
      </c>
      <c r="F12">
        <v>9</v>
      </c>
      <c r="G12" t="str">
        <f>VLOOKUP(A12,[1]inrix_key!$A:$C,3,FALSE)</f>
        <v>Colchester_N</v>
      </c>
      <c r="H12">
        <f t="shared" si="0"/>
        <v>-6.5528869931811</v>
      </c>
    </row>
    <row r="13" spans="1:11" x14ac:dyDescent="0.25">
      <c r="A13">
        <v>1187548947</v>
      </c>
      <c r="B13" t="s">
        <v>8</v>
      </c>
      <c r="C13">
        <v>-0.107419590643274</v>
      </c>
      <c r="D13">
        <v>-15.258148189715101</v>
      </c>
      <c r="E13" s="1">
        <v>1.25090428695939E-6</v>
      </c>
      <c r="F13">
        <v>8</v>
      </c>
      <c r="G13" t="str">
        <f>VLOOKUP(A13,[1]inrix_key!$A:$C,3,FALSE)</f>
        <v>Fairview_S</v>
      </c>
      <c r="H13">
        <f t="shared" si="0"/>
        <v>-6.4451754385964399</v>
      </c>
    </row>
    <row r="14" spans="1:11" x14ac:dyDescent="0.25">
      <c r="A14">
        <v>1187654609</v>
      </c>
      <c r="B14" t="s">
        <v>8</v>
      </c>
      <c r="C14">
        <v>-0.10540935672514599</v>
      </c>
      <c r="D14">
        <v>-9.0453114124543497</v>
      </c>
      <c r="E14" s="1">
        <v>4.1285698197649898E-5</v>
      </c>
      <c r="F14">
        <v>8</v>
      </c>
      <c r="G14" t="str">
        <f>VLOOKUP(A14,[1]inrix_key!$A:$C,3,FALSE)</f>
        <v>Pine_N</v>
      </c>
      <c r="H14">
        <f t="shared" si="0"/>
        <v>-6.3245614035087598</v>
      </c>
    </row>
    <row r="15" spans="1:11" x14ac:dyDescent="0.25">
      <c r="A15">
        <v>1187548975</v>
      </c>
      <c r="B15" t="s">
        <v>8</v>
      </c>
      <c r="C15">
        <v>-9.8866959064327395E-2</v>
      </c>
      <c r="D15">
        <v>-12.130047630741201</v>
      </c>
      <c r="E15" s="1">
        <v>5.9143999190387296E-6</v>
      </c>
      <c r="F15">
        <v>8</v>
      </c>
      <c r="G15" t="str">
        <f>VLOOKUP(A15,[1]inrix_key!$A:$C,3,FALSE)</f>
        <v>Pine_S</v>
      </c>
      <c r="H15">
        <f t="shared" si="0"/>
        <v>-5.9320175438596436</v>
      </c>
    </row>
    <row r="16" spans="1:11" x14ac:dyDescent="0.25">
      <c r="A16">
        <v>448725596</v>
      </c>
      <c r="B16" t="s">
        <v>6</v>
      </c>
      <c r="C16">
        <v>-9.7978070175438498E-2</v>
      </c>
      <c r="D16">
        <v>-15.2056875748951</v>
      </c>
      <c r="E16" s="1">
        <v>4.3304401686695399E-12</v>
      </c>
      <c r="F16">
        <v>20</v>
      </c>
      <c r="G16" t="str">
        <f>VLOOKUP(A16,[1]inrix_key!$A:$C,3,FALSE)</f>
        <v>Franklin_S</v>
      </c>
      <c r="H16">
        <f t="shared" si="0"/>
        <v>-5.87868421052631</v>
      </c>
    </row>
    <row r="17" spans="1:8" x14ac:dyDescent="0.25">
      <c r="A17">
        <v>448697006</v>
      </c>
      <c r="B17" t="s">
        <v>6</v>
      </c>
      <c r="C17">
        <v>-9.5602339181286494E-2</v>
      </c>
      <c r="D17">
        <v>-11.5891407454094</v>
      </c>
      <c r="E17" s="1">
        <v>4.6557406936703598E-10</v>
      </c>
      <c r="F17">
        <v>20</v>
      </c>
      <c r="G17" t="str">
        <f>VLOOKUP(A17,[1]inrix_key!$A:$C,3,FALSE)</f>
        <v>StLukes_N</v>
      </c>
      <c r="H17">
        <f t="shared" si="0"/>
        <v>-5.7361403508771893</v>
      </c>
    </row>
    <row r="18" spans="1:8" x14ac:dyDescent="0.25">
      <c r="A18">
        <v>1187548975</v>
      </c>
      <c r="B18" t="s">
        <v>9</v>
      </c>
      <c r="C18">
        <v>-9.2751114835886495E-2</v>
      </c>
      <c r="D18">
        <v>-6.5874409496143098</v>
      </c>
      <c r="E18" s="1">
        <v>2.63827705192377E-6</v>
      </c>
      <c r="F18">
        <v>20</v>
      </c>
      <c r="G18" t="str">
        <f>VLOOKUP(A18,[1]inrix_key!$A:$C,3,FALSE)</f>
        <v>Pine_S</v>
      </c>
      <c r="H18">
        <f t="shared" si="0"/>
        <v>-5.5650668901531901</v>
      </c>
    </row>
    <row r="19" spans="1:8" x14ac:dyDescent="0.25">
      <c r="A19">
        <v>1187654609</v>
      </c>
      <c r="B19" t="s">
        <v>6</v>
      </c>
      <c r="C19">
        <v>-9.2622807017543801E-2</v>
      </c>
      <c r="D19">
        <v>-12.307793640118399</v>
      </c>
      <c r="E19" s="1">
        <v>1.6872078947140299E-10</v>
      </c>
      <c r="F19">
        <v>20</v>
      </c>
      <c r="G19" t="str">
        <f>VLOOKUP(A19,[1]inrix_key!$A:$C,3,FALSE)</f>
        <v>Pine_N</v>
      </c>
      <c r="H19">
        <f t="shared" si="0"/>
        <v>-5.5573684210526277</v>
      </c>
    </row>
    <row r="20" spans="1:8" x14ac:dyDescent="0.25">
      <c r="A20">
        <v>448697006</v>
      </c>
      <c r="B20" t="s">
        <v>8</v>
      </c>
      <c r="C20">
        <v>-9.1608187134502903E-2</v>
      </c>
      <c r="D20">
        <v>-12.830016351521801</v>
      </c>
      <c r="E20" s="1">
        <v>4.05407715569928E-6</v>
      </c>
      <c r="F20">
        <v>8</v>
      </c>
      <c r="G20" t="str">
        <f>VLOOKUP(A20,[1]inrix_key!$A:$C,3,FALSE)</f>
        <v>StLukes_N</v>
      </c>
      <c r="H20">
        <f t="shared" si="0"/>
        <v>-5.4964912280701741</v>
      </c>
    </row>
    <row r="21" spans="1:8" x14ac:dyDescent="0.25">
      <c r="A21">
        <v>1187548947</v>
      </c>
      <c r="B21" t="s">
        <v>9</v>
      </c>
      <c r="C21">
        <v>-9.1283427290373795E-2</v>
      </c>
      <c r="D21">
        <v>-10.1608910032863</v>
      </c>
      <c r="E21" s="1">
        <v>4.0673036751587398E-9</v>
      </c>
      <c r="F21">
        <v>20</v>
      </c>
      <c r="G21" t="str">
        <f>VLOOKUP(A21,[1]inrix_key!$A:$C,3,FALSE)</f>
        <v>Fairview_S</v>
      </c>
      <c r="H21">
        <f t="shared" si="0"/>
        <v>-5.4770056374224279</v>
      </c>
    </row>
    <row r="22" spans="1:8" x14ac:dyDescent="0.25">
      <c r="A22">
        <v>448697008</v>
      </c>
      <c r="B22" t="s">
        <v>9</v>
      </c>
      <c r="C22">
        <v>-8.5102578220283304E-2</v>
      </c>
      <c r="D22">
        <v>-11.123693609239499</v>
      </c>
      <c r="E22" s="1">
        <v>9.2218829370452396E-10</v>
      </c>
      <c r="F22">
        <v>20</v>
      </c>
      <c r="G22" t="str">
        <f>VLOOKUP(A22,[1]inrix_key!$A:$C,3,FALSE)</f>
        <v>RiverValley_S</v>
      </c>
      <c r="H22">
        <f t="shared" si="0"/>
        <v>-5.1061546932169986</v>
      </c>
    </row>
    <row r="23" spans="1:8" x14ac:dyDescent="0.25">
      <c r="A23">
        <v>1187586311</v>
      </c>
      <c r="B23" t="s">
        <v>7</v>
      </c>
      <c r="C23">
        <v>-8.4204942279942296E-2</v>
      </c>
      <c r="D23">
        <v>-4.7147488426081701</v>
      </c>
      <c r="E23">
        <v>1.09715936182731E-3</v>
      </c>
      <c r="F23">
        <v>10</v>
      </c>
      <c r="G23" t="str">
        <f>VLOOKUP(A23,[1]inrix_key!$A:$C,3,FALSE)</f>
        <v>EB_W</v>
      </c>
      <c r="H23">
        <f t="shared" si="0"/>
        <v>-5.052296536796538</v>
      </c>
    </row>
    <row r="24" spans="1:8" x14ac:dyDescent="0.25">
      <c r="A24">
        <v>1187549053</v>
      </c>
      <c r="B24" t="s">
        <v>6</v>
      </c>
      <c r="C24">
        <v>-8.3752923976608204E-2</v>
      </c>
      <c r="D24">
        <v>-9.5766006653398197</v>
      </c>
      <c r="E24" s="1">
        <v>1.0516689356056699E-8</v>
      </c>
      <c r="F24">
        <v>20</v>
      </c>
      <c r="G24" t="str">
        <f>VLOOKUP(A24,[1]inrix_key!$A:$C,3,FALSE)</f>
        <v>HobbleCreek_S</v>
      </c>
      <c r="H24">
        <f t="shared" si="0"/>
        <v>-5.0251754385964924</v>
      </c>
    </row>
    <row r="25" spans="1:8" x14ac:dyDescent="0.25">
      <c r="A25">
        <v>1187654588</v>
      </c>
      <c r="B25" t="s">
        <v>9</v>
      </c>
      <c r="C25">
        <v>-8.2965727431323397E-2</v>
      </c>
      <c r="D25">
        <v>-5.7886788850703201</v>
      </c>
      <c r="E25" s="1">
        <v>1.41012254321238E-5</v>
      </c>
      <c r="F25">
        <v>20</v>
      </c>
      <c r="G25" t="str">
        <f>VLOOKUP(A25,[1]inrix_key!$A:$C,3,FALSE)</f>
        <v>Franklin_N</v>
      </c>
      <c r="H25">
        <f t="shared" si="0"/>
        <v>-4.977943645879404</v>
      </c>
    </row>
    <row r="26" spans="1:8" x14ac:dyDescent="0.25">
      <c r="A26">
        <v>474871675</v>
      </c>
      <c r="B26" t="s">
        <v>8</v>
      </c>
      <c r="C26">
        <v>-8.1315359477124094E-2</v>
      </c>
      <c r="D26">
        <v>-3.9535224057618401</v>
      </c>
      <c r="E26">
        <v>5.5071216118877404E-3</v>
      </c>
      <c r="F26">
        <v>8</v>
      </c>
      <c r="G26" t="str">
        <f>VLOOKUP(A26,[1]inrix_key!$A:$C,3,FALSE)</f>
        <v>McMillan_E</v>
      </c>
      <c r="H26">
        <f t="shared" si="0"/>
        <v>-4.8789215686274456</v>
      </c>
    </row>
    <row r="27" spans="1:8" x14ac:dyDescent="0.25">
      <c r="A27">
        <v>117503882</v>
      </c>
      <c r="B27" t="s">
        <v>6</v>
      </c>
      <c r="C27">
        <v>-8.0628654970760202E-2</v>
      </c>
      <c r="D27">
        <v>-9.9576999529807306</v>
      </c>
      <c r="E27" s="1">
        <v>5.6347150933589803E-9</v>
      </c>
      <c r="F27">
        <v>20</v>
      </c>
      <c r="G27" t="str">
        <f>VLOOKUP(A27,[1]inrix_key!$A:$C,3,FALSE)</f>
        <v>Franklin_E</v>
      </c>
      <c r="H27">
        <f t="shared" si="0"/>
        <v>-4.8377192982456121</v>
      </c>
    </row>
    <row r="28" spans="1:8" x14ac:dyDescent="0.25">
      <c r="A28">
        <v>448697009</v>
      </c>
      <c r="B28" t="s">
        <v>6</v>
      </c>
      <c r="C28">
        <v>-8.0182748538011606E-2</v>
      </c>
      <c r="D28">
        <v>-5.6479173929740103</v>
      </c>
      <c r="E28" s="1">
        <v>1.9104131002062898E-5</v>
      </c>
      <c r="F28">
        <v>20</v>
      </c>
      <c r="G28" t="str">
        <f>VLOOKUP(A28,[1]inrix_key!$A:$C,3,FALSE)</f>
        <v>Ustick_S</v>
      </c>
      <c r="H28">
        <f t="shared" si="0"/>
        <v>-4.8109649122806966</v>
      </c>
    </row>
    <row r="29" spans="1:8" x14ac:dyDescent="0.25">
      <c r="A29">
        <v>448697010</v>
      </c>
      <c r="B29" t="s">
        <v>8</v>
      </c>
      <c r="C29">
        <v>-7.6622807017543801E-2</v>
      </c>
      <c r="D29">
        <v>-6.4107417883631301</v>
      </c>
      <c r="E29">
        <v>3.6354982845092501E-4</v>
      </c>
      <c r="F29">
        <v>8</v>
      </c>
      <c r="G29" t="str">
        <f>VLOOKUP(A29,[1]inrix_key!$A:$C,3,FALSE)</f>
        <v>RiverValley_N</v>
      </c>
      <c r="H29">
        <f t="shared" si="0"/>
        <v>-4.5973684210526278</v>
      </c>
    </row>
    <row r="30" spans="1:8" x14ac:dyDescent="0.25">
      <c r="A30">
        <v>1187333665</v>
      </c>
      <c r="B30" t="s">
        <v>9</v>
      </c>
      <c r="C30">
        <v>-7.6574501408825907E-2</v>
      </c>
      <c r="D30">
        <v>-3.4645918751286899</v>
      </c>
      <c r="E30">
        <v>2.76575944333406E-3</v>
      </c>
      <c r="F30">
        <v>19</v>
      </c>
      <c r="G30" t="str">
        <f>VLOOKUP(A30,[1]inrix_key!$A:$C,3,FALSE)</f>
        <v>Chinden_N</v>
      </c>
      <c r="H30">
        <f t="shared" si="0"/>
        <v>-4.5944700845295543</v>
      </c>
    </row>
    <row r="31" spans="1:8" x14ac:dyDescent="0.25">
      <c r="A31">
        <v>1187333665</v>
      </c>
      <c r="B31" t="s">
        <v>6</v>
      </c>
      <c r="C31">
        <v>-7.4697368421052596E-2</v>
      </c>
      <c r="D31">
        <v>-5.5995489994804402</v>
      </c>
      <c r="E31" s="1">
        <v>2.1216504677982901E-5</v>
      </c>
      <c r="F31">
        <v>20</v>
      </c>
      <c r="G31" t="str">
        <f>VLOOKUP(A31,[1]inrix_key!$A:$C,3,FALSE)</f>
        <v>Chinden_N</v>
      </c>
      <c r="H31">
        <f t="shared" si="0"/>
        <v>-4.4818421052631559</v>
      </c>
    </row>
    <row r="32" spans="1:8" x14ac:dyDescent="0.25">
      <c r="A32">
        <v>448694757</v>
      </c>
      <c r="B32" t="s">
        <v>7</v>
      </c>
      <c r="C32">
        <v>-7.3017676767676704E-2</v>
      </c>
      <c r="D32">
        <v>-2.67726944806043</v>
      </c>
      <c r="E32">
        <v>2.8044436195925102E-2</v>
      </c>
      <c r="F32">
        <v>9</v>
      </c>
      <c r="G32" t="str">
        <f>VLOOKUP(A32,[1]inrix_key!$A:$C,3,FALSE)</f>
        <v>Ustick_W</v>
      </c>
      <c r="H32">
        <f t="shared" si="0"/>
        <v>-4.3810606060606023</v>
      </c>
    </row>
    <row r="33" spans="1:8" x14ac:dyDescent="0.25">
      <c r="A33">
        <v>448697011</v>
      </c>
      <c r="B33" t="s">
        <v>6</v>
      </c>
      <c r="C33">
        <v>-7.0697368421052606E-2</v>
      </c>
      <c r="D33">
        <v>-11.434322133924599</v>
      </c>
      <c r="E33" s="1">
        <v>5.8304568100146504E-10</v>
      </c>
      <c r="F33">
        <v>20</v>
      </c>
      <c r="G33" t="str">
        <f>VLOOKUP(A33,[1]inrix_key!$A:$C,3,FALSE)</f>
        <v>Fairview_N</v>
      </c>
      <c r="H33">
        <f t="shared" si="0"/>
        <v>-4.2418421052631565</v>
      </c>
    </row>
    <row r="34" spans="1:8" x14ac:dyDescent="0.25">
      <c r="A34">
        <v>1187333665</v>
      </c>
      <c r="B34" t="s">
        <v>8</v>
      </c>
      <c r="C34">
        <v>-6.9722222222222199E-2</v>
      </c>
      <c r="D34">
        <v>-4.1352145762757297</v>
      </c>
      <c r="E34">
        <v>4.3753072245523604E-3</v>
      </c>
      <c r="F34">
        <v>8</v>
      </c>
      <c r="G34" t="str">
        <f>VLOOKUP(A34,[1]inrix_key!$A:$C,3,FALSE)</f>
        <v>Chinden_N</v>
      </c>
      <c r="H34">
        <f t="shared" si="0"/>
        <v>-4.1833333333333318</v>
      </c>
    </row>
    <row r="35" spans="1:8" x14ac:dyDescent="0.25">
      <c r="A35">
        <v>1187586311</v>
      </c>
      <c r="B35" t="s">
        <v>9</v>
      </c>
      <c r="C35">
        <v>-6.86307414726023E-2</v>
      </c>
      <c r="D35">
        <v>-3.3150104028231002</v>
      </c>
      <c r="E35">
        <v>3.8515193309049301E-3</v>
      </c>
      <c r="F35">
        <v>19</v>
      </c>
      <c r="G35" t="str">
        <f>VLOOKUP(A35,[1]inrix_key!$A:$C,3,FALSE)</f>
        <v>EB_W</v>
      </c>
      <c r="H35">
        <f t="shared" si="0"/>
        <v>-4.1178444883561376</v>
      </c>
    </row>
    <row r="36" spans="1:8" x14ac:dyDescent="0.25">
      <c r="A36">
        <v>448725595</v>
      </c>
      <c r="B36" t="s">
        <v>6</v>
      </c>
      <c r="C36">
        <v>-6.8214912280701701E-2</v>
      </c>
      <c r="D36">
        <v>-13.728798853927101</v>
      </c>
      <c r="E36" s="1">
        <v>2.58541808306939E-11</v>
      </c>
      <c r="F36">
        <v>20</v>
      </c>
      <c r="G36" t="str">
        <f>VLOOKUP(A36,[1]inrix_key!$A:$C,3,FALSE)</f>
        <v>StLukes_S</v>
      </c>
      <c r="H36">
        <f t="shared" si="0"/>
        <v>-4.0928947368421023</v>
      </c>
    </row>
    <row r="37" spans="1:8" x14ac:dyDescent="0.25">
      <c r="A37">
        <v>448697010</v>
      </c>
      <c r="B37" t="s">
        <v>6</v>
      </c>
      <c r="C37">
        <v>-6.7763157894736803E-2</v>
      </c>
      <c r="D37">
        <v>-10.700505948144199</v>
      </c>
      <c r="E37" s="1">
        <v>1.74935482992099E-9</v>
      </c>
      <c r="F37">
        <v>20</v>
      </c>
      <c r="G37" t="str">
        <f>VLOOKUP(A37,[1]inrix_key!$A:$C,3,FALSE)</f>
        <v>RiverValley_N</v>
      </c>
      <c r="H37">
        <f t="shared" si="0"/>
        <v>-4.065789473684208</v>
      </c>
    </row>
    <row r="38" spans="1:8" x14ac:dyDescent="0.25">
      <c r="A38">
        <v>448725596</v>
      </c>
      <c r="B38" t="s">
        <v>9</v>
      </c>
      <c r="C38">
        <v>-6.6815080928703197E-2</v>
      </c>
      <c r="D38">
        <v>-9.1450564256278799</v>
      </c>
      <c r="E38" s="1">
        <v>2.1761445427947E-8</v>
      </c>
      <c r="F38">
        <v>20</v>
      </c>
      <c r="G38" t="str">
        <f>VLOOKUP(A38,[1]inrix_key!$A:$C,3,FALSE)</f>
        <v>Franklin_S</v>
      </c>
      <c r="H38">
        <f t="shared" si="0"/>
        <v>-4.008904855722192</v>
      </c>
    </row>
    <row r="39" spans="1:8" x14ac:dyDescent="0.25">
      <c r="A39">
        <v>1187334983</v>
      </c>
      <c r="B39" t="s">
        <v>6</v>
      </c>
      <c r="C39">
        <v>-6.4989766081871306E-2</v>
      </c>
      <c r="D39">
        <v>-7.7672936220158704</v>
      </c>
      <c r="E39" s="1">
        <v>2.59092831981014E-7</v>
      </c>
      <c r="F39">
        <v>20</v>
      </c>
      <c r="G39" t="str">
        <f>VLOOKUP(A39,[1]inrix_key!$A:$C,3,FALSE)</f>
        <v>Wainwright_N</v>
      </c>
      <c r="H39">
        <f t="shared" si="0"/>
        <v>-3.8993859649122782</v>
      </c>
    </row>
    <row r="40" spans="1:8" x14ac:dyDescent="0.25">
      <c r="A40">
        <v>119501618</v>
      </c>
      <c r="B40" t="s">
        <v>6</v>
      </c>
      <c r="C40">
        <v>-6.4407894736842095E-2</v>
      </c>
      <c r="D40">
        <v>-5.2209205116314497</v>
      </c>
      <c r="E40" s="1">
        <v>4.8653515252692099E-5</v>
      </c>
      <c r="F40">
        <v>20</v>
      </c>
      <c r="G40" t="str">
        <f>VLOOKUP(A40,[1]inrix_key!$A:$C,3,FALSE)</f>
        <v>McMillan_N</v>
      </c>
      <c r="H40">
        <f t="shared" si="0"/>
        <v>-3.8644736842105258</v>
      </c>
    </row>
    <row r="41" spans="1:8" x14ac:dyDescent="0.25">
      <c r="A41">
        <v>1187466896</v>
      </c>
      <c r="B41" t="s">
        <v>9</v>
      </c>
      <c r="C41">
        <v>-6.4222198349036599E-2</v>
      </c>
      <c r="D41">
        <v>-7.0988155297583901</v>
      </c>
      <c r="E41" s="1">
        <v>9.42906988130376E-7</v>
      </c>
      <c r="F41">
        <v>20</v>
      </c>
      <c r="G41" t="str">
        <f>VLOOKUP(A41,[1]inrix_key!$A:$C,3,FALSE)</f>
        <v>IslandWood_S</v>
      </c>
      <c r="H41">
        <f t="shared" si="0"/>
        <v>-3.8533319009421958</v>
      </c>
    </row>
    <row r="42" spans="1:8" x14ac:dyDescent="0.25">
      <c r="A42">
        <v>1187549053</v>
      </c>
      <c r="B42" t="s">
        <v>9</v>
      </c>
      <c r="C42">
        <v>-6.3663754054253202E-2</v>
      </c>
      <c r="D42">
        <v>-8.0789381428658409</v>
      </c>
      <c r="E42" s="1">
        <v>1.4480765816602199E-7</v>
      </c>
      <c r="F42">
        <v>20</v>
      </c>
      <c r="G42" t="str">
        <f>VLOOKUP(A42,[1]inrix_key!$A:$C,3,FALSE)</f>
        <v>HobbleCreek_S</v>
      </c>
      <c r="H42">
        <f t="shared" si="0"/>
        <v>-3.8198252432551922</v>
      </c>
    </row>
    <row r="43" spans="1:8" x14ac:dyDescent="0.25">
      <c r="A43">
        <v>1187636735</v>
      </c>
      <c r="B43" t="s">
        <v>6</v>
      </c>
      <c r="C43">
        <v>-6.3618421052631602E-2</v>
      </c>
      <c r="D43">
        <v>-5.2979854126713999</v>
      </c>
      <c r="E43" s="1">
        <v>4.1040505759318499E-5</v>
      </c>
      <c r="F43">
        <v>20</v>
      </c>
      <c r="G43" t="str">
        <f>VLOOKUP(A43,[1]inrix_key!$A:$C,3,FALSE)</f>
        <v>WB_E</v>
      </c>
      <c r="H43">
        <f t="shared" si="0"/>
        <v>-3.8171052631578961</v>
      </c>
    </row>
    <row r="44" spans="1:8" x14ac:dyDescent="0.25">
      <c r="A44">
        <v>1187579027</v>
      </c>
      <c r="B44" t="s">
        <v>6</v>
      </c>
      <c r="C44">
        <v>-6.225E-2</v>
      </c>
      <c r="D44">
        <v>-12.5203541029561</v>
      </c>
      <c r="E44" s="1">
        <v>1.2608256947229999E-10</v>
      </c>
      <c r="F44">
        <v>20</v>
      </c>
      <c r="G44" t="str">
        <f>VLOOKUP(A44,[1]inrix_key!$A:$C,3,FALSE)</f>
        <v>Fairview_E</v>
      </c>
      <c r="H44">
        <f t="shared" si="0"/>
        <v>-3.7349999999999999</v>
      </c>
    </row>
    <row r="45" spans="1:8" x14ac:dyDescent="0.25">
      <c r="A45">
        <v>448697007</v>
      </c>
      <c r="B45" t="s">
        <v>6</v>
      </c>
      <c r="C45">
        <v>-6.0337719298245503E-2</v>
      </c>
      <c r="D45">
        <v>-8.2358482714598704</v>
      </c>
      <c r="E45" s="1">
        <v>1.08562942365847E-7</v>
      </c>
      <c r="F45">
        <v>20</v>
      </c>
      <c r="G45" t="str">
        <f>VLOOKUP(A45,[1]inrix_key!$A:$C,3,FALSE)</f>
        <v>WB_N</v>
      </c>
      <c r="H45">
        <f t="shared" si="0"/>
        <v>-3.6202631578947302</v>
      </c>
    </row>
    <row r="46" spans="1:8" x14ac:dyDescent="0.25">
      <c r="A46">
        <v>448694747</v>
      </c>
      <c r="B46" t="s">
        <v>6</v>
      </c>
      <c r="C46">
        <v>-5.8393704850361099E-2</v>
      </c>
      <c r="D46">
        <v>-5.6532088380453196</v>
      </c>
      <c r="E46" s="1">
        <v>1.8886509758850899E-5</v>
      </c>
      <c r="F46">
        <v>20</v>
      </c>
      <c r="G46" t="str">
        <f>VLOOKUP(A46,[1]inrix_key!$A:$C,3,FALSE)</f>
        <v>Fairview_W</v>
      </c>
      <c r="H46">
        <f t="shared" si="0"/>
        <v>-3.5036222910216659</v>
      </c>
    </row>
    <row r="47" spans="1:8" x14ac:dyDescent="0.25">
      <c r="A47">
        <v>384139881</v>
      </c>
      <c r="B47" t="s">
        <v>8</v>
      </c>
      <c r="C47">
        <v>-5.8377192982456E-2</v>
      </c>
      <c r="D47">
        <v>-9.3277372233140792</v>
      </c>
      <c r="E47" s="1">
        <v>3.3783634552553499E-5</v>
      </c>
      <c r="F47">
        <v>8</v>
      </c>
      <c r="G47" t="str">
        <f>VLOOKUP(A47,[1]inrix_key!$A:$C,3,FALSE)</f>
        <v>Pine_W</v>
      </c>
      <c r="H47">
        <f t="shared" si="0"/>
        <v>-3.5026315789473599</v>
      </c>
    </row>
    <row r="48" spans="1:8" x14ac:dyDescent="0.25">
      <c r="A48">
        <v>1187466917</v>
      </c>
      <c r="B48" t="s">
        <v>9</v>
      </c>
      <c r="C48">
        <v>-5.8178513316748497E-2</v>
      </c>
      <c r="D48">
        <v>-5.7864845703360599</v>
      </c>
      <c r="E48" s="1">
        <v>1.41678743437323E-5</v>
      </c>
      <c r="F48">
        <v>20</v>
      </c>
      <c r="G48" t="str">
        <f>VLOOKUP(A48,[1]inrix_key!$A:$C,3,FALSE)</f>
        <v>Colchester_S</v>
      </c>
      <c r="H48">
        <f t="shared" si="0"/>
        <v>-3.4907107990049098</v>
      </c>
    </row>
    <row r="49" spans="1:8" x14ac:dyDescent="0.25">
      <c r="A49">
        <v>448697009</v>
      </c>
      <c r="B49" t="s">
        <v>9</v>
      </c>
      <c r="C49">
        <v>-5.6633494693730697E-2</v>
      </c>
      <c r="D49">
        <v>-12.2514491568558</v>
      </c>
      <c r="E49" s="1">
        <v>1.8238684043308399E-10</v>
      </c>
      <c r="F49">
        <v>20</v>
      </c>
      <c r="G49" t="str">
        <f>VLOOKUP(A49,[1]inrix_key!$A:$C,3,FALSE)</f>
        <v>Ustick_S</v>
      </c>
      <c r="H49">
        <f t="shared" si="0"/>
        <v>-3.3980096816238419</v>
      </c>
    </row>
    <row r="50" spans="1:8" x14ac:dyDescent="0.25">
      <c r="A50">
        <v>448697006</v>
      </c>
      <c r="B50" t="s">
        <v>9</v>
      </c>
      <c r="C50">
        <v>-5.5917035104128703E-2</v>
      </c>
      <c r="D50">
        <v>-5.1104388861424503</v>
      </c>
      <c r="E50" s="1">
        <v>6.21597715316177E-5</v>
      </c>
      <c r="F50">
        <v>20</v>
      </c>
      <c r="G50" t="str">
        <f>VLOOKUP(A50,[1]inrix_key!$A:$C,3,FALSE)</f>
        <v>StLukes_N</v>
      </c>
      <c r="H50">
        <f t="shared" si="0"/>
        <v>-3.3550221062477221</v>
      </c>
    </row>
    <row r="51" spans="1:8" x14ac:dyDescent="0.25">
      <c r="A51">
        <v>428958435</v>
      </c>
      <c r="B51" t="s">
        <v>6</v>
      </c>
      <c r="C51">
        <v>-5.33771929824561E-2</v>
      </c>
      <c r="D51">
        <v>-8.9441373425898192</v>
      </c>
      <c r="E51" s="1">
        <v>3.0765056567550802E-8</v>
      </c>
      <c r="F51">
        <v>20</v>
      </c>
      <c r="G51">
        <f>VLOOKUP(A51,[1]inrix_key!$A:$C,3,FALSE)</f>
        <v>0</v>
      </c>
      <c r="H51">
        <f t="shared" si="0"/>
        <v>-3.2026315789473658</v>
      </c>
    </row>
    <row r="52" spans="1:8" x14ac:dyDescent="0.25">
      <c r="A52">
        <v>384139881</v>
      </c>
      <c r="B52" t="s">
        <v>9</v>
      </c>
      <c r="C52">
        <v>-5.2192291012221302E-2</v>
      </c>
      <c r="D52">
        <v>-2.4764313648834899</v>
      </c>
      <c r="E52">
        <v>2.2846124030218198E-2</v>
      </c>
      <c r="F52">
        <v>20</v>
      </c>
      <c r="G52" t="str">
        <f>VLOOKUP(A52,[1]inrix_key!$A:$C,3,FALSE)</f>
        <v>Pine_W</v>
      </c>
      <c r="H52">
        <f t="shared" si="0"/>
        <v>-3.131537460733278</v>
      </c>
    </row>
    <row r="53" spans="1:8" x14ac:dyDescent="0.25">
      <c r="A53">
        <v>1187635580</v>
      </c>
      <c r="B53" t="s">
        <v>6</v>
      </c>
      <c r="C53">
        <v>-5.0084795321637399E-2</v>
      </c>
      <c r="D53">
        <v>-6.6004959096388696</v>
      </c>
      <c r="E53" s="1">
        <v>2.56875627860936E-6</v>
      </c>
      <c r="F53">
        <v>20</v>
      </c>
      <c r="G53" t="str">
        <f>VLOOKUP(A53,[1]inrix_key!$A:$C,3,FALSE)</f>
        <v>WB_S</v>
      </c>
      <c r="H53">
        <f t="shared" si="0"/>
        <v>-3.0050877192982437</v>
      </c>
    </row>
    <row r="54" spans="1:8" x14ac:dyDescent="0.25">
      <c r="A54">
        <v>1187586311</v>
      </c>
      <c r="B54" t="s">
        <v>6</v>
      </c>
      <c r="C54">
        <v>-4.9900584795321598E-2</v>
      </c>
      <c r="D54">
        <v>-6.4260660008820603</v>
      </c>
      <c r="E54" s="1">
        <v>3.6769847633668301E-6</v>
      </c>
      <c r="F54">
        <v>20</v>
      </c>
      <c r="G54" t="str">
        <f>VLOOKUP(A54,[1]inrix_key!$A:$C,3,FALSE)</f>
        <v>EB_W</v>
      </c>
      <c r="H54">
        <f t="shared" si="0"/>
        <v>-2.9940350877192961</v>
      </c>
    </row>
    <row r="55" spans="1:8" x14ac:dyDescent="0.25">
      <c r="A55">
        <v>448695752</v>
      </c>
      <c r="B55" t="s">
        <v>7</v>
      </c>
      <c r="C55">
        <v>-4.9705908289241603E-2</v>
      </c>
      <c r="D55">
        <v>-5.0949875270121501</v>
      </c>
      <c r="E55">
        <v>9.3562584062977395E-4</v>
      </c>
      <c r="F55">
        <v>9</v>
      </c>
      <c r="G55" t="str">
        <f>VLOOKUP(A55,[1]inrix_key!$A:$C,3,FALSE)</f>
        <v>IslandWood_N</v>
      </c>
      <c r="H55">
        <f t="shared" si="0"/>
        <v>-2.9823544973544962</v>
      </c>
    </row>
    <row r="56" spans="1:8" x14ac:dyDescent="0.25">
      <c r="A56">
        <v>117772024</v>
      </c>
      <c r="B56" t="s">
        <v>8</v>
      </c>
      <c r="C56">
        <v>-4.9101790935672497E-2</v>
      </c>
      <c r="D56">
        <v>-9.5568302816504094</v>
      </c>
      <c r="E56" s="1">
        <v>2.8822053190447201E-5</v>
      </c>
      <c r="F56">
        <v>8</v>
      </c>
      <c r="G56" t="str">
        <f>VLOOKUP(A56,[1]inrix_key!$A:$C,3,FALSE)</f>
        <v>IslandWood_W</v>
      </c>
      <c r="H56">
        <f t="shared" si="0"/>
        <v>-2.94610745614035</v>
      </c>
    </row>
    <row r="57" spans="1:8" x14ac:dyDescent="0.25">
      <c r="A57">
        <v>448695753</v>
      </c>
      <c r="B57" t="s">
        <v>6</v>
      </c>
      <c r="C57">
        <v>-4.8691520467836202E-2</v>
      </c>
      <c r="D57">
        <v>-5.9514588679598104</v>
      </c>
      <c r="E57" s="1">
        <v>9.9552751712005198E-6</v>
      </c>
      <c r="F57">
        <v>20</v>
      </c>
      <c r="G57" t="str">
        <f>VLOOKUP(A57,[1]inrix_key!$A:$C,3,FALSE)</f>
        <v>Riverside_S</v>
      </c>
      <c r="H57">
        <f t="shared" si="0"/>
        <v>-2.9214912280701721</v>
      </c>
    </row>
    <row r="58" spans="1:8" x14ac:dyDescent="0.25">
      <c r="A58">
        <v>448697007</v>
      </c>
      <c r="B58" t="s">
        <v>9</v>
      </c>
      <c r="C58">
        <v>-4.8494209243628697E-2</v>
      </c>
      <c r="D58">
        <v>-5.9843699495073803</v>
      </c>
      <c r="E58" s="1">
        <v>9.2822936250510804E-6</v>
      </c>
      <c r="F58">
        <v>20</v>
      </c>
      <c r="G58" t="str">
        <f>VLOOKUP(A58,[1]inrix_key!$A:$C,3,FALSE)</f>
        <v>WB_N</v>
      </c>
      <c r="H58">
        <f t="shared" si="0"/>
        <v>-2.9096525546177219</v>
      </c>
    </row>
    <row r="59" spans="1:8" x14ac:dyDescent="0.25">
      <c r="A59">
        <v>448725595</v>
      </c>
      <c r="B59" t="s">
        <v>9</v>
      </c>
      <c r="C59">
        <v>-4.7444211241115197E-2</v>
      </c>
      <c r="D59">
        <v>-8.6400979227994306</v>
      </c>
      <c r="E59" s="1">
        <v>5.2449424846500698E-8</v>
      </c>
      <c r="F59">
        <v>20</v>
      </c>
      <c r="G59" t="str">
        <f>VLOOKUP(A59,[1]inrix_key!$A:$C,3,FALSE)</f>
        <v>StLukes_S</v>
      </c>
      <c r="H59">
        <f t="shared" si="0"/>
        <v>-2.8466526744669118</v>
      </c>
    </row>
    <row r="60" spans="1:8" x14ac:dyDescent="0.25">
      <c r="A60">
        <v>1187654588</v>
      </c>
      <c r="B60" t="s">
        <v>7</v>
      </c>
      <c r="C60">
        <v>-4.6298109243697497E-2</v>
      </c>
      <c r="D60">
        <v>-5.5816801800964502</v>
      </c>
      <c r="E60">
        <v>3.4221258375061501E-4</v>
      </c>
      <c r="F60">
        <v>10</v>
      </c>
      <c r="G60" t="str">
        <f>VLOOKUP(A60,[1]inrix_key!$A:$C,3,FALSE)</f>
        <v>Franklin_N</v>
      </c>
      <c r="H60">
        <f t="shared" si="0"/>
        <v>-2.7778865546218499</v>
      </c>
    </row>
    <row r="61" spans="1:8" x14ac:dyDescent="0.25">
      <c r="A61">
        <v>1187333605</v>
      </c>
      <c r="B61" t="s">
        <v>9</v>
      </c>
      <c r="C61">
        <v>-4.5360982964494402E-2</v>
      </c>
      <c r="D61">
        <v>-4.6602589715166598</v>
      </c>
      <c r="E61">
        <v>1.94697111026471E-4</v>
      </c>
      <c r="F61">
        <v>19</v>
      </c>
      <c r="G61" t="str">
        <f>VLOOKUP(A61,[1]inrix_key!$A:$C,3,FALSE)</f>
        <v>Colchester_N</v>
      </c>
      <c r="H61">
        <f t="shared" si="0"/>
        <v>-2.721658977869664</v>
      </c>
    </row>
    <row r="62" spans="1:8" x14ac:dyDescent="0.25">
      <c r="A62">
        <v>448725597</v>
      </c>
      <c r="B62" t="s">
        <v>6</v>
      </c>
      <c r="C62">
        <v>-4.5229375214998299E-2</v>
      </c>
      <c r="D62">
        <v>-6.6153199046263902</v>
      </c>
      <c r="E62" s="1">
        <v>2.4921021348717402E-6</v>
      </c>
      <c r="F62">
        <v>20</v>
      </c>
      <c r="G62" t="str">
        <f>VLOOKUP(A62,[1]inrix_key!$A:$C,3,FALSE)</f>
        <v>Ustick_E</v>
      </c>
      <c r="H62">
        <f t="shared" si="0"/>
        <v>-2.7137625128998981</v>
      </c>
    </row>
    <row r="63" spans="1:8" x14ac:dyDescent="0.25">
      <c r="A63">
        <v>119269713</v>
      </c>
      <c r="B63" t="s">
        <v>8</v>
      </c>
      <c r="C63">
        <v>-4.4104482323232302E-2</v>
      </c>
      <c r="D63">
        <v>-5.6036992138383797</v>
      </c>
      <c r="E63">
        <v>8.1279919854630701E-4</v>
      </c>
      <c r="F63">
        <v>8</v>
      </c>
      <c r="G63" t="str">
        <f>VLOOKUP(A63,[1]inrix_key!$A:$C,3,FALSE)</f>
        <v>Colchester_E</v>
      </c>
      <c r="H63">
        <f t="shared" si="0"/>
        <v>-2.6462689393939383</v>
      </c>
    </row>
    <row r="64" spans="1:8" x14ac:dyDescent="0.25">
      <c r="A64">
        <v>119501618</v>
      </c>
      <c r="B64" t="s">
        <v>8</v>
      </c>
      <c r="C64">
        <v>-4.3377192982456098E-2</v>
      </c>
      <c r="D64">
        <v>-4.0269750566631597</v>
      </c>
      <c r="E64">
        <v>5.0150063399391296E-3</v>
      </c>
      <c r="F64">
        <v>8</v>
      </c>
      <c r="G64" t="str">
        <f>VLOOKUP(A64,[1]inrix_key!$A:$C,3,FALSE)</f>
        <v>McMillan_N</v>
      </c>
      <c r="H64">
        <f t="shared" si="0"/>
        <v>-2.6026315789473657</v>
      </c>
    </row>
    <row r="65" spans="1:8" x14ac:dyDescent="0.25">
      <c r="A65">
        <v>448725596</v>
      </c>
      <c r="B65" t="s">
        <v>8</v>
      </c>
      <c r="C65">
        <v>-4.30226608187134E-2</v>
      </c>
      <c r="D65">
        <v>-6.7681344268228498</v>
      </c>
      <c r="E65">
        <v>2.6065972091567899E-4</v>
      </c>
      <c r="F65">
        <v>8</v>
      </c>
      <c r="G65" t="str">
        <f>VLOOKUP(A65,[1]inrix_key!$A:$C,3,FALSE)</f>
        <v>Franklin_S</v>
      </c>
      <c r="H65">
        <f t="shared" si="0"/>
        <v>-2.5813596491228039</v>
      </c>
    </row>
    <row r="66" spans="1:8" x14ac:dyDescent="0.25">
      <c r="A66">
        <v>1187577122</v>
      </c>
      <c r="B66" t="s">
        <v>6</v>
      </c>
      <c r="C66">
        <v>-4.2859649122807E-2</v>
      </c>
      <c r="D66">
        <v>-6.7796602016004002</v>
      </c>
      <c r="E66" s="1">
        <v>1.7846835541565199E-6</v>
      </c>
      <c r="F66">
        <v>20</v>
      </c>
      <c r="G66" t="str">
        <f>VLOOKUP(A66,[1]inrix_key!$A:$C,3,FALSE)</f>
        <v>Chinden_E</v>
      </c>
      <c r="H66">
        <f t="shared" ref="H66:H129" si="1">60*C66</f>
        <v>-2.5715789473684199</v>
      </c>
    </row>
    <row r="67" spans="1:8" x14ac:dyDescent="0.25">
      <c r="A67">
        <v>117772024</v>
      </c>
      <c r="B67" t="s">
        <v>6</v>
      </c>
      <c r="C67">
        <v>-4.24094319745442E-2</v>
      </c>
      <c r="D67">
        <v>-4.9620655581339603</v>
      </c>
      <c r="E67" s="1">
        <v>8.6532635038730197E-5</v>
      </c>
      <c r="F67">
        <v>20</v>
      </c>
      <c r="G67" t="str">
        <f>VLOOKUP(A67,[1]inrix_key!$A:$C,3,FALSE)</f>
        <v>IslandWood_W</v>
      </c>
      <c r="H67">
        <f t="shared" si="1"/>
        <v>-2.5445659184726521</v>
      </c>
    </row>
    <row r="68" spans="1:8" x14ac:dyDescent="0.25">
      <c r="A68">
        <v>448697007</v>
      </c>
      <c r="B68" t="s">
        <v>8</v>
      </c>
      <c r="C68">
        <v>-4.1849415204678303E-2</v>
      </c>
      <c r="D68">
        <v>-4.0406823830648904</v>
      </c>
      <c r="E68">
        <v>4.9286060845947898E-3</v>
      </c>
      <c r="F68">
        <v>8</v>
      </c>
      <c r="G68" t="str">
        <f>VLOOKUP(A68,[1]inrix_key!$A:$C,3,FALSE)</f>
        <v>WB_N</v>
      </c>
      <c r="H68">
        <f t="shared" si="1"/>
        <v>-2.5109649122806981</v>
      </c>
    </row>
    <row r="69" spans="1:8" x14ac:dyDescent="0.25">
      <c r="A69">
        <v>119269713</v>
      </c>
      <c r="B69" t="s">
        <v>6</v>
      </c>
      <c r="C69">
        <v>-4.1150523904200299E-2</v>
      </c>
      <c r="D69">
        <v>-5.1630232806788996</v>
      </c>
      <c r="E69" s="1">
        <v>5.5310231190685598E-5</v>
      </c>
      <c r="F69">
        <v>20</v>
      </c>
      <c r="G69" t="str">
        <f>VLOOKUP(A69,[1]inrix_key!$A:$C,3,FALSE)</f>
        <v>Colchester_E</v>
      </c>
      <c r="H69">
        <f t="shared" si="1"/>
        <v>-2.4690314342520181</v>
      </c>
    </row>
    <row r="70" spans="1:8" x14ac:dyDescent="0.25">
      <c r="A70">
        <v>117772024</v>
      </c>
      <c r="B70" t="s">
        <v>7</v>
      </c>
      <c r="C70">
        <v>-4.0888888888888898E-2</v>
      </c>
      <c r="D70">
        <v>-2.2731212045738598</v>
      </c>
      <c r="E70">
        <v>0.150914417015303</v>
      </c>
      <c r="F70">
        <v>3</v>
      </c>
      <c r="G70" t="str">
        <f>VLOOKUP(A70,[1]inrix_key!$A:$C,3,FALSE)</f>
        <v>IslandWood_W</v>
      </c>
      <c r="H70">
        <f t="shared" si="1"/>
        <v>-2.453333333333334</v>
      </c>
    </row>
    <row r="71" spans="1:8" x14ac:dyDescent="0.25">
      <c r="A71">
        <v>1187548975</v>
      </c>
      <c r="B71" t="s">
        <v>7</v>
      </c>
      <c r="C71">
        <v>-4.0832456922162703E-2</v>
      </c>
      <c r="D71">
        <v>-3.5249618457040302</v>
      </c>
      <c r="E71">
        <v>6.4648723147256899E-3</v>
      </c>
      <c r="F71">
        <v>10</v>
      </c>
      <c r="G71" t="str">
        <f>VLOOKUP(A71,[1]inrix_key!$A:$C,3,FALSE)</f>
        <v>Pine_S</v>
      </c>
      <c r="H71">
        <f t="shared" si="1"/>
        <v>-2.449947415329762</v>
      </c>
    </row>
    <row r="72" spans="1:8" x14ac:dyDescent="0.25">
      <c r="A72">
        <v>448695752</v>
      </c>
      <c r="B72" t="s">
        <v>6</v>
      </c>
      <c r="C72">
        <v>-3.96578947368421E-2</v>
      </c>
      <c r="D72">
        <v>-9.6769441225984494</v>
      </c>
      <c r="E72" s="1">
        <v>8.9087613719462198E-9</v>
      </c>
      <c r="F72">
        <v>20</v>
      </c>
      <c r="G72" t="str">
        <f>VLOOKUP(A72,[1]inrix_key!$A:$C,3,FALSE)</f>
        <v>IslandWood_N</v>
      </c>
      <c r="H72">
        <f t="shared" si="1"/>
        <v>-2.379473684210526</v>
      </c>
    </row>
    <row r="73" spans="1:8" x14ac:dyDescent="0.25">
      <c r="A73">
        <v>484366819</v>
      </c>
      <c r="B73" t="s">
        <v>6</v>
      </c>
      <c r="C73">
        <v>-3.9628654970760201E-2</v>
      </c>
      <c r="D73">
        <v>-7.5638214108164297</v>
      </c>
      <c r="E73" s="1">
        <v>3.8146173135518501E-7</v>
      </c>
      <c r="F73">
        <v>20</v>
      </c>
      <c r="G73" t="str">
        <f>VLOOKUP(A73,[1]inrix_key!$A:$C,3,FALSE)</f>
        <v>Pine_E</v>
      </c>
      <c r="H73">
        <f t="shared" si="1"/>
        <v>-2.3777192982456121</v>
      </c>
    </row>
    <row r="74" spans="1:8" x14ac:dyDescent="0.25">
      <c r="A74">
        <v>1187333605</v>
      </c>
      <c r="B74" t="s">
        <v>6</v>
      </c>
      <c r="C74">
        <v>-3.6747076023391799E-2</v>
      </c>
      <c r="D74">
        <v>-5.7983159778581301</v>
      </c>
      <c r="E74" s="1">
        <v>1.3812301170345299E-5</v>
      </c>
      <c r="F74">
        <v>20</v>
      </c>
      <c r="G74" t="str">
        <f>VLOOKUP(A74,[1]inrix_key!$A:$C,3,FALSE)</f>
        <v>Colchester_N</v>
      </c>
      <c r="H74">
        <f t="shared" si="1"/>
        <v>-2.204824561403508</v>
      </c>
    </row>
    <row r="75" spans="1:8" x14ac:dyDescent="0.25">
      <c r="A75">
        <v>1187466896</v>
      </c>
      <c r="B75" t="s">
        <v>6</v>
      </c>
      <c r="C75">
        <v>-3.5942982456140297E-2</v>
      </c>
      <c r="D75">
        <v>-7.4345255334548099</v>
      </c>
      <c r="E75" s="1">
        <v>4.89167969437037E-7</v>
      </c>
      <c r="F75">
        <v>20</v>
      </c>
      <c r="G75" t="str">
        <f>VLOOKUP(A75,[1]inrix_key!$A:$C,3,FALSE)</f>
        <v>IslandWood_S</v>
      </c>
      <c r="H75">
        <f t="shared" si="1"/>
        <v>-2.156578947368418</v>
      </c>
    </row>
    <row r="76" spans="1:8" x14ac:dyDescent="0.25">
      <c r="A76">
        <v>1187579027</v>
      </c>
      <c r="B76" t="s">
        <v>8</v>
      </c>
      <c r="C76">
        <v>-3.5592105263157897E-2</v>
      </c>
      <c r="D76">
        <v>-1.8641705789951799</v>
      </c>
      <c r="E76">
        <v>0.104569197411867</v>
      </c>
      <c r="F76">
        <v>8</v>
      </c>
      <c r="G76" t="str">
        <f>VLOOKUP(A76,[1]inrix_key!$A:$C,3,FALSE)</f>
        <v>Fairview_E</v>
      </c>
      <c r="H76">
        <f t="shared" si="1"/>
        <v>-2.1355263157894737</v>
      </c>
    </row>
    <row r="77" spans="1:8" x14ac:dyDescent="0.25">
      <c r="A77">
        <v>448695751</v>
      </c>
      <c r="B77" t="s">
        <v>6</v>
      </c>
      <c r="C77">
        <v>-3.5540935672514602E-2</v>
      </c>
      <c r="D77">
        <v>-5.5505896780740303</v>
      </c>
      <c r="E77" s="1">
        <v>2.3599122618222602E-5</v>
      </c>
      <c r="F77">
        <v>20</v>
      </c>
      <c r="G77" t="str">
        <f>VLOOKUP(A77,[1]inrix_key!$A:$C,3,FALSE)</f>
        <v>Riverside_N</v>
      </c>
      <c r="H77">
        <f t="shared" si="1"/>
        <v>-2.1324561403508762</v>
      </c>
    </row>
    <row r="78" spans="1:8" x14ac:dyDescent="0.25">
      <c r="A78">
        <v>1187517040</v>
      </c>
      <c r="B78" t="s">
        <v>9</v>
      </c>
      <c r="C78">
        <v>-3.5257071808910002E-2</v>
      </c>
      <c r="D78">
        <v>-7.7687152947239797</v>
      </c>
      <c r="E78" s="1">
        <v>2.5839854587165E-7</v>
      </c>
      <c r="F78">
        <v>20</v>
      </c>
      <c r="G78" t="str">
        <f>VLOOKUP(A78,[1]inrix_key!$A:$C,3,FALSE)</f>
        <v>Wainwright_S</v>
      </c>
      <c r="H78">
        <f t="shared" si="1"/>
        <v>-2.1154243085346001</v>
      </c>
    </row>
    <row r="79" spans="1:8" x14ac:dyDescent="0.25">
      <c r="A79">
        <v>1187517040</v>
      </c>
      <c r="B79" t="s">
        <v>6</v>
      </c>
      <c r="C79">
        <v>-3.5135964912280597E-2</v>
      </c>
      <c r="D79">
        <v>-4.2541928755201299</v>
      </c>
      <c r="E79">
        <v>4.2889444692950499E-4</v>
      </c>
      <c r="F79">
        <v>20</v>
      </c>
      <c r="G79" t="str">
        <f>VLOOKUP(A79,[1]inrix_key!$A:$C,3,FALSE)</f>
        <v>Wainwright_S</v>
      </c>
      <c r="H79">
        <f t="shared" si="1"/>
        <v>-2.108157894736836</v>
      </c>
    </row>
    <row r="80" spans="1:8" x14ac:dyDescent="0.25">
      <c r="A80">
        <v>484366819</v>
      </c>
      <c r="B80" t="s">
        <v>7</v>
      </c>
      <c r="C80">
        <v>-3.4079966329966301E-2</v>
      </c>
      <c r="D80">
        <v>-2.6794994447242799</v>
      </c>
      <c r="E80">
        <v>2.79476763523532E-2</v>
      </c>
      <c r="F80">
        <v>9</v>
      </c>
      <c r="G80" t="str">
        <f>VLOOKUP(A80,[1]inrix_key!$A:$C,3,FALSE)</f>
        <v>Pine_E</v>
      </c>
      <c r="H80">
        <f t="shared" si="1"/>
        <v>-2.0447979797979778</v>
      </c>
    </row>
    <row r="81" spans="1:8" x14ac:dyDescent="0.25">
      <c r="A81">
        <v>1187532837</v>
      </c>
      <c r="B81" t="s">
        <v>6</v>
      </c>
      <c r="C81">
        <v>-3.3451754385964899E-2</v>
      </c>
      <c r="D81">
        <v>-7.9855972923116996</v>
      </c>
      <c r="E81" s="1">
        <v>1.7213982516260299E-7</v>
      </c>
      <c r="F81">
        <v>20</v>
      </c>
      <c r="G81" t="str">
        <f>VLOOKUP(A81,[1]inrix_key!$A:$C,3,FALSE)</f>
        <v>HobbleCreek_N</v>
      </c>
      <c r="H81">
        <f t="shared" si="1"/>
        <v>-2.0071052631578938</v>
      </c>
    </row>
    <row r="82" spans="1:8" x14ac:dyDescent="0.25">
      <c r="A82">
        <v>1187548987</v>
      </c>
      <c r="B82" t="s">
        <v>6</v>
      </c>
      <c r="C82">
        <v>-3.3372807017543797E-2</v>
      </c>
      <c r="D82">
        <v>-4.9634622173446701</v>
      </c>
      <c r="E82" s="1">
        <v>8.6262799084457493E-5</v>
      </c>
      <c r="F82">
        <v>20</v>
      </c>
      <c r="G82" t="str">
        <f>VLOOKUP(A82,[1]inrix_key!$A:$C,3,FALSE)</f>
        <v>McMillan_S</v>
      </c>
      <c r="H82">
        <f t="shared" si="1"/>
        <v>-2.002368421052628</v>
      </c>
    </row>
    <row r="83" spans="1:8" x14ac:dyDescent="0.25">
      <c r="A83">
        <v>1187334983</v>
      </c>
      <c r="B83" t="s">
        <v>8</v>
      </c>
      <c r="C83">
        <v>-3.1293859649122797E-2</v>
      </c>
      <c r="D83">
        <v>-3.5636663479545398</v>
      </c>
      <c r="E83">
        <v>9.1743137915882202E-3</v>
      </c>
      <c r="F83">
        <v>8</v>
      </c>
      <c r="G83" t="str">
        <f>VLOOKUP(A83,[1]inrix_key!$A:$C,3,FALSE)</f>
        <v>Wainwright_N</v>
      </c>
      <c r="H83">
        <f t="shared" si="1"/>
        <v>-1.8776315789473679</v>
      </c>
    </row>
    <row r="84" spans="1:8" x14ac:dyDescent="0.25">
      <c r="A84">
        <v>448725595</v>
      </c>
      <c r="B84" t="s">
        <v>8</v>
      </c>
      <c r="C84">
        <v>-3.10818713450292E-2</v>
      </c>
      <c r="D84">
        <v>-2.8036453728142798</v>
      </c>
      <c r="E84">
        <v>2.63856758408679E-2</v>
      </c>
      <c r="F84">
        <v>8</v>
      </c>
      <c r="G84" t="str">
        <f>VLOOKUP(A84,[1]inrix_key!$A:$C,3,FALSE)</f>
        <v>StLukes_S</v>
      </c>
      <c r="H84">
        <f t="shared" si="1"/>
        <v>-1.864912280701752</v>
      </c>
    </row>
    <row r="85" spans="1:8" x14ac:dyDescent="0.25">
      <c r="A85">
        <v>384121516</v>
      </c>
      <c r="B85" t="s">
        <v>6</v>
      </c>
      <c r="C85">
        <v>-3.0829495614035099E-2</v>
      </c>
      <c r="D85">
        <v>-5.6281768284085096</v>
      </c>
      <c r="E85" s="1">
        <v>1.9938935042873801E-5</v>
      </c>
      <c r="F85">
        <v>20</v>
      </c>
      <c r="G85" t="str">
        <f>VLOOKUP(A85,[1]inrix_key!$A:$C,3,FALSE)</f>
        <v>McMillan_W</v>
      </c>
      <c r="H85">
        <f t="shared" si="1"/>
        <v>-1.849769736842106</v>
      </c>
    </row>
    <row r="86" spans="1:8" x14ac:dyDescent="0.25">
      <c r="A86">
        <v>448725596</v>
      </c>
      <c r="B86" t="s">
        <v>7</v>
      </c>
      <c r="C86">
        <v>-3.00759039979628E-2</v>
      </c>
      <c r="D86">
        <v>-4.76709470621714</v>
      </c>
      <c r="E86">
        <v>1.0194999948644301E-3</v>
      </c>
      <c r="F86">
        <v>10</v>
      </c>
      <c r="G86" t="str">
        <f>VLOOKUP(A86,[1]inrix_key!$A:$C,3,FALSE)</f>
        <v>Franklin_S</v>
      </c>
      <c r="H86">
        <f t="shared" si="1"/>
        <v>-1.8045542398777681</v>
      </c>
    </row>
    <row r="87" spans="1:8" x14ac:dyDescent="0.25">
      <c r="A87">
        <v>384121516</v>
      </c>
      <c r="B87" t="s">
        <v>9</v>
      </c>
      <c r="C87">
        <v>-2.9822614133372598E-2</v>
      </c>
      <c r="D87">
        <v>-2.42079537743692</v>
      </c>
      <c r="E87">
        <v>3.2270543683410702E-2</v>
      </c>
      <c r="F87">
        <v>13</v>
      </c>
      <c r="G87" t="str">
        <f>VLOOKUP(A87,[1]inrix_key!$A:$C,3,FALSE)</f>
        <v>McMillan_W</v>
      </c>
      <c r="H87">
        <f t="shared" si="1"/>
        <v>-1.7893568480023558</v>
      </c>
    </row>
    <row r="88" spans="1:8" x14ac:dyDescent="0.25">
      <c r="A88">
        <v>1187466896</v>
      </c>
      <c r="B88" t="s">
        <v>7</v>
      </c>
      <c r="C88">
        <v>-2.94151978740213E-2</v>
      </c>
      <c r="D88">
        <v>-5.1886454616021096</v>
      </c>
      <c r="E88">
        <v>5.7268463406220103E-4</v>
      </c>
      <c r="F88">
        <v>10</v>
      </c>
      <c r="G88" t="str">
        <f>VLOOKUP(A88,[1]inrix_key!$A:$C,3,FALSE)</f>
        <v>IslandWood_S</v>
      </c>
      <c r="H88">
        <f t="shared" si="1"/>
        <v>-1.764911872441278</v>
      </c>
    </row>
    <row r="89" spans="1:8" x14ac:dyDescent="0.25">
      <c r="A89">
        <v>448697011</v>
      </c>
      <c r="B89" t="s">
        <v>9</v>
      </c>
      <c r="C89">
        <v>-2.9139761416321599E-2</v>
      </c>
      <c r="D89">
        <v>-2.5260825641112499</v>
      </c>
      <c r="E89">
        <v>2.1128993291544801E-2</v>
      </c>
      <c r="F89">
        <v>19</v>
      </c>
      <c r="G89" t="str">
        <f>VLOOKUP(A89,[1]inrix_key!$A:$C,3,FALSE)</f>
        <v>Fairview_N</v>
      </c>
      <c r="H89">
        <f t="shared" si="1"/>
        <v>-1.748385684979296</v>
      </c>
    </row>
    <row r="90" spans="1:8" x14ac:dyDescent="0.25">
      <c r="A90">
        <v>448694747</v>
      </c>
      <c r="B90" t="s">
        <v>8</v>
      </c>
      <c r="C90">
        <v>-2.90460526315789E-2</v>
      </c>
      <c r="D90">
        <v>-3.5812207621415602</v>
      </c>
      <c r="E90">
        <v>8.9615404095448898E-3</v>
      </c>
      <c r="F90">
        <v>8</v>
      </c>
      <c r="G90" t="str">
        <f>VLOOKUP(A90,[1]inrix_key!$A:$C,3,FALSE)</f>
        <v>Fairview_W</v>
      </c>
      <c r="H90">
        <f t="shared" si="1"/>
        <v>-1.742763157894734</v>
      </c>
    </row>
    <row r="91" spans="1:8" x14ac:dyDescent="0.25">
      <c r="A91">
        <v>1187635580</v>
      </c>
      <c r="B91" t="s">
        <v>9</v>
      </c>
      <c r="C91">
        <v>-2.82533631165016E-2</v>
      </c>
      <c r="D91">
        <v>-4.5638661185120997</v>
      </c>
      <c r="E91">
        <v>2.1212995888927701E-4</v>
      </c>
      <c r="F91">
        <v>20</v>
      </c>
      <c r="G91" t="str">
        <f>VLOOKUP(A91,[1]inrix_key!$A:$C,3,FALSE)</f>
        <v>WB_S</v>
      </c>
      <c r="H91">
        <f t="shared" si="1"/>
        <v>-1.6952017869900959</v>
      </c>
    </row>
    <row r="92" spans="1:8" x14ac:dyDescent="0.25">
      <c r="A92">
        <v>484371307</v>
      </c>
      <c r="B92" t="s">
        <v>9</v>
      </c>
      <c r="C92">
        <v>-2.73019749451026E-2</v>
      </c>
      <c r="D92">
        <v>-2.8134555853842498</v>
      </c>
      <c r="E92">
        <v>1.15001204562731E-2</v>
      </c>
      <c r="F92">
        <v>19</v>
      </c>
      <c r="G92" t="str">
        <f>VLOOKUP(A92,[1]inrix_key!$A:$C,3,FALSE)</f>
        <v>Pine_E</v>
      </c>
      <c r="H92">
        <f t="shared" si="1"/>
        <v>-1.6381184967061559</v>
      </c>
    </row>
    <row r="93" spans="1:8" x14ac:dyDescent="0.25">
      <c r="A93">
        <v>1187532837</v>
      </c>
      <c r="B93" t="s">
        <v>8</v>
      </c>
      <c r="C93">
        <v>-2.71235380116959E-2</v>
      </c>
      <c r="D93">
        <v>-4.8230934824312302</v>
      </c>
      <c r="E93">
        <v>1.91462532374736E-3</v>
      </c>
      <c r="F93">
        <v>8</v>
      </c>
      <c r="G93" t="str">
        <f>VLOOKUP(A93,[1]inrix_key!$A:$C,3,FALSE)</f>
        <v>HobbleCreek_N</v>
      </c>
      <c r="H93">
        <f t="shared" si="1"/>
        <v>-1.6274122807017539</v>
      </c>
    </row>
    <row r="94" spans="1:8" x14ac:dyDescent="0.25">
      <c r="A94">
        <v>1187549053</v>
      </c>
      <c r="B94" t="s">
        <v>7</v>
      </c>
      <c r="C94">
        <v>-2.6951707687737098E-2</v>
      </c>
      <c r="D94">
        <v>-3.5323003362787002</v>
      </c>
      <c r="E94">
        <v>6.3908332289024598E-3</v>
      </c>
      <c r="F94">
        <v>10</v>
      </c>
      <c r="G94" t="str">
        <f>VLOOKUP(A94,[1]inrix_key!$A:$C,3,FALSE)</f>
        <v>HobbleCreek_S</v>
      </c>
      <c r="H94">
        <f t="shared" si="1"/>
        <v>-1.617102461264226</v>
      </c>
    </row>
    <row r="95" spans="1:8" x14ac:dyDescent="0.25">
      <c r="A95">
        <v>448694757</v>
      </c>
      <c r="B95" t="s">
        <v>8</v>
      </c>
      <c r="C95">
        <v>-2.6312134502923901E-2</v>
      </c>
      <c r="D95">
        <v>-2.55307375241774</v>
      </c>
      <c r="E95">
        <v>3.7933049154864798E-2</v>
      </c>
      <c r="F95">
        <v>8</v>
      </c>
      <c r="G95" t="str">
        <f>VLOOKUP(A95,[1]inrix_key!$A:$C,3,FALSE)</f>
        <v>Ustick_W</v>
      </c>
      <c r="H95">
        <f t="shared" si="1"/>
        <v>-1.578728070175434</v>
      </c>
    </row>
    <row r="96" spans="1:8" x14ac:dyDescent="0.25">
      <c r="A96">
        <v>448697010</v>
      </c>
      <c r="B96" t="s">
        <v>9</v>
      </c>
      <c r="C96">
        <v>-2.58957926341216E-2</v>
      </c>
      <c r="D96">
        <v>-3.30078280794877</v>
      </c>
      <c r="E96">
        <v>3.9744333687593402E-3</v>
      </c>
      <c r="F96">
        <v>19</v>
      </c>
      <c r="G96" t="str">
        <f>VLOOKUP(A96,[1]inrix_key!$A:$C,3,FALSE)</f>
        <v>RiverValley_N</v>
      </c>
      <c r="H96">
        <f t="shared" si="1"/>
        <v>-1.5537475580472959</v>
      </c>
    </row>
    <row r="97" spans="1:8" x14ac:dyDescent="0.25">
      <c r="A97">
        <v>1187548947</v>
      </c>
      <c r="B97" t="s">
        <v>7</v>
      </c>
      <c r="C97">
        <v>-2.5679065868771701E-2</v>
      </c>
      <c r="D97">
        <v>-2.0886978971315999</v>
      </c>
      <c r="E97">
        <v>6.6323249800898695E-2</v>
      </c>
      <c r="F97">
        <v>10</v>
      </c>
      <c r="G97" t="str">
        <f>VLOOKUP(A97,[1]inrix_key!$A:$C,3,FALSE)</f>
        <v>Fairview_S</v>
      </c>
      <c r="H97">
        <f t="shared" si="1"/>
        <v>-1.540743952126302</v>
      </c>
    </row>
    <row r="98" spans="1:8" x14ac:dyDescent="0.25">
      <c r="A98">
        <v>1187517040</v>
      </c>
      <c r="B98" t="s">
        <v>8</v>
      </c>
      <c r="C98">
        <v>-2.46856725146198E-2</v>
      </c>
      <c r="D98">
        <v>-3.7834396071224301</v>
      </c>
      <c r="E98">
        <v>6.8613914560486699E-3</v>
      </c>
      <c r="F98">
        <v>8</v>
      </c>
      <c r="G98" t="str">
        <f>VLOOKUP(A98,[1]inrix_key!$A:$C,3,FALSE)</f>
        <v>Wainwright_S</v>
      </c>
      <c r="H98">
        <f t="shared" si="1"/>
        <v>-1.4811403508771881</v>
      </c>
    </row>
    <row r="99" spans="1:8" x14ac:dyDescent="0.25">
      <c r="A99">
        <v>484371307</v>
      </c>
      <c r="B99" t="s">
        <v>6</v>
      </c>
      <c r="C99">
        <v>-2.46491228070175E-2</v>
      </c>
      <c r="D99">
        <v>-7.8414613823637103</v>
      </c>
      <c r="E99" s="1">
        <v>2.2532890792819501E-7</v>
      </c>
      <c r="F99">
        <v>20</v>
      </c>
      <c r="G99" t="str">
        <f>VLOOKUP(A99,[1]inrix_key!$A:$C,3,FALSE)</f>
        <v>Pine_E</v>
      </c>
      <c r="H99">
        <f t="shared" si="1"/>
        <v>-1.4789473684210501</v>
      </c>
    </row>
    <row r="100" spans="1:8" x14ac:dyDescent="0.25">
      <c r="A100">
        <v>448695753</v>
      </c>
      <c r="B100" t="s">
        <v>9</v>
      </c>
      <c r="C100">
        <v>-2.4013409017453101E-2</v>
      </c>
      <c r="D100">
        <v>-2.6862338661870599</v>
      </c>
      <c r="E100">
        <v>1.4616668291212999E-2</v>
      </c>
      <c r="F100">
        <v>20</v>
      </c>
      <c r="G100" t="str">
        <f>VLOOKUP(A100,[1]inrix_key!$A:$C,3,FALSE)</f>
        <v>Riverside_S</v>
      </c>
      <c r="H100">
        <f t="shared" si="1"/>
        <v>-1.4408045410471861</v>
      </c>
    </row>
    <row r="101" spans="1:8" x14ac:dyDescent="0.25">
      <c r="A101">
        <v>448725599</v>
      </c>
      <c r="B101" t="s">
        <v>6</v>
      </c>
      <c r="C101">
        <v>-2.3593567251461899E-2</v>
      </c>
      <c r="D101">
        <v>-2.7056179831324401</v>
      </c>
      <c r="E101">
        <v>1.40183065238377E-2</v>
      </c>
      <c r="F101">
        <v>20</v>
      </c>
      <c r="G101" t="str">
        <f>VLOOKUP(A101,[1]inrix_key!$A:$C,3,FALSE)</f>
        <v>Chinden_S</v>
      </c>
      <c r="H101">
        <f t="shared" si="1"/>
        <v>-1.415614035087714</v>
      </c>
    </row>
    <row r="102" spans="1:8" x14ac:dyDescent="0.25">
      <c r="A102">
        <v>484366819</v>
      </c>
      <c r="B102" t="s">
        <v>9</v>
      </c>
      <c r="C102">
        <v>-2.3525244031130401E-2</v>
      </c>
      <c r="D102">
        <v>-2.42313441043152</v>
      </c>
      <c r="E102">
        <v>2.6153082763169799E-2</v>
      </c>
      <c r="F102">
        <v>19</v>
      </c>
      <c r="G102" t="str">
        <f>VLOOKUP(A102,[1]inrix_key!$A:$C,3,FALSE)</f>
        <v>Pine_E</v>
      </c>
      <c r="H102">
        <f t="shared" si="1"/>
        <v>-1.4115146418678242</v>
      </c>
    </row>
    <row r="103" spans="1:8" x14ac:dyDescent="0.25">
      <c r="A103">
        <v>1187548987</v>
      </c>
      <c r="B103" t="s">
        <v>9</v>
      </c>
      <c r="C103">
        <v>-2.3485984049490202E-2</v>
      </c>
      <c r="D103">
        <v>-3.8049446074528399</v>
      </c>
      <c r="E103">
        <v>1.196195772193E-3</v>
      </c>
      <c r="F103">
        <v>20</v>
      </c>
      <c r="G103" t="str">
        <f>VLOOKUP(A103,[1]inrix_key!$A:$C,3,FALSE)</f>
        <v>McMillan_S</v>
      </c>
      <c r="H103">
        <f t="shared" si="1"/>
        <v>-1.4091590429694121</v>
      </c>
    </row>
    <row r="104" spans="1:8" x14ac:dyDescent="0.25">
      <c r="A104">
        <v>448697006</v>
      </c>
      <c r="B104" t="s">
        <v>7</v>
      </c>
      <c r="C104">
        <v>-2.2980825057295599E-2</v>
      </c>
      <c r="D104">
        <v>-2.45401775476908</v>
      </c>
      <c r="E104">
        <v>3.6515252967283897E-2</v>
      </c>
      <c r="F104">
        <v>10</v>
      </c>
      <c r="G104" t="str">
        <f>VLOOKUP(A104,[1]inrix_key!$A:$C,3,FALSE)</f>
        <v>StLukes_N</v>
      </c>
      <c r="H104">
        <f t="shared" si="1"/>
        <v>-1.3788495034377359</v>
      </c>
    </row>
    <row r="105" spans="1:8" x14ac:dyDescent="0.25">
      <c r="A105">
        <v>119501618</v>
      </c>
      <c r="B105" t="s">
        <v>9</v>
      </c>
      <c r="C105">
        <v>-2.2693548564393401E-2</v>
      </c>
      <c r="D105">
        <v>-1.6406603246569</v>
      </c>
      <c r="E105">
        <v>0.118225492438132</v>
      </c>
      <c r="F105">
        <v>19</v>
      </c>
      <c r="G105" t="str">
        <f>VLOOKUP(A105,[1]inrix_key!$A:$C,3,FALSE)</f>
        <v>McMillan_N</v>
      </c>
      <c r="H105">
        <f t="shared" si="1"/>
        <v>-1.3616129138636039</v>
      </c>
    </row>
    <row r="106" spans="1:8" x14ac:dyDescent="0.25">
      <c r="A106">
        <v>1187466917</v>
      </c>
      <c r="B106" t="s">
        <v>7</v>
      </c>
      <c r="C106">
        <v>-2.2666234827264198E-2</v>
      </c>
      <c r="D106">
        <v>-2.2189020676148998</v>
      </c>
      <c r="E106">
        <v>5.3660111696328699E-2</v>
      </c>
      <c r="F106">
        <v>10</v>
      </c>
      <c r="G106" t="str">
        <f>VLOOKUP(A106,[1]inrix_key!$A:$C,3,FALSE)</f>
        <v>Colchester_S</v>
      </c>
      <c r="H106">
        <f t="shared" si="1"/>
        <v>-1.3599740896358519</v>
      </c>
    </row>
    <row r="107" spans="1:8" x14ac:dyDescent="0.25">
      <c r="A107">
        <v>1187377510</v>
      </c>
      <c r="B107" t="s">
        <v>6</v>
      </c>
      <c r="C107">
        <v>-2.2577485380116901E-2</v>
      </c>
      <c r="D107">
        <v>-3.7870845635183099</v>
      </c>
      <c r="E107">
        <v>1.2459633975417099E-3</v>
      </c>
      <c r="F107">
        <v>20</v>
      </c>
      <c r="G107" t="str">
        <f>VLOOKUP(A107,[1]inrix_key!$A:$C,3,FALSE)</f>
        <v>EB_S</v>
      </c>
      <c r="H107">
        <f t="shared" si="1"/>
        <v>-1.3546491228070141</v>
      </c>
    </row>
    <row r="108" spans="1:8" x14ac:dyDescent="0.25">
      <c r="A108">
        <v>428958435</v>
      </c>
      <c r="B108" t="s">
        <v>8</v>
      </c>
      <c r="C108">
        <v>-2.11695906432748E-2</v>
      </c>
      <c r="D108">
        <v>-5.0679227147678896</v>
      </c>
      <c r="E108">
        <v>1.45045514218597E-3</v>
      </c>
      <c r="F108">
        <v>8</v>
      </c>
      <c r="G108">
        <f>VLOOKUP(A108,[1]inrix_key!$A:$C,3,FALSE)</f>
        <v>0</v>
      </c>
      <c r="H108">
        <f t="shared" si="1"/>
        <v>-1.2701754385964881</v>
      </c>
    </row>
    <row r="109" spans="1:8" x14ac:dyDescent="0.25">
      <c r="A109">
        <v>428958434</v>
      </c>
      <c r="B109" t="s">
        <v>6</v>
      </c>
      <c r="C109">
        <v>-2.0748538011695902E-2</v>
      </c>
      <c r="D109">
        <v>-2.3110716171293899</v>
      </c>
      <c r="E109">
        <v>3.22127198327311E-2</v>
      </c>
      <c r="F109">
        <v>20</v>
      </c>
      <c r="G109">
        <f>VLOOKUP(A109,[1]inrix_key!$A:$C,3,FALSE)</f>
        <v>0</v>
      </c>
      <c r="H109">
        <f t="shared" si="1"/>
        <v>-1.2449122807017541</v>
      </c>
    </row>
    <row r="110" spans="1:8" x14ac:dyDescent="0.25">
      <c r="A110">
        <v>1187549053</v>
      </c>
      <c r="B110" t="s">
        <v>8</v>
      </c>
      <c r="C110">
        <v>-2.00986842105263E-2</v>
      </c>
      <c r="D110">
        <v>-4.3460346890052497</v>
      </c>
      <c r="E110">
        <v>3.3711318138622002E-3</v>
      </c>
      <c r="F110">
        <v>8</v>
      </c>
      <c r="G110" t="str">
        <f>VLOOKUP(A110,[1]inrix_key!$A:$C,3,FALSE)</f>
        <v>HobbleCreek_S</v>
      </c>
      <c r="H110">
        <f t="shared" si="1"/>
        <v>-1.205921052631578</v>
      </c>
    </row>
    <row r="111" spans="1:8" x14ac:dyDescent="0.25">
      <c r="A111">
        <v>428958435</v>
      </c>
      <c r="B111" t="s">
        <v>9</v>
      </c>
      <c r="C111">
        <v>-1.9126747304553E-2</v>
      </c>
      <c r="D111">
        <v>-3.2178262850472898</v>
      </c>
      <c r="E111">
        <v>4.5294316684245202E-3</v>
      </c>
      <c r="F111">
        <v>20</v>
      </c>
      <c r="G111">
        <f>VLOOKUP(A111,[1]inrix_key!$A:$C,3,FALSE)</f>
        <v>0</v>
      </c>
      <c r="H111">
        <f t="shared" si="1"/>
        <v>-1.1476048382731801</v>
      </c>
    </row>
    <row r="112" spans="1:8" x14ac:dyDescent="0.25">
      <c r="A112">
        <v>119241469</v>
      </c>
      <c r="B112" t="s">
        <v>6</v>
      </c>
      <c r="C112">
        <v>-1.81395036744301E-2</v>
      </c>
      <c r="D112">
        <v>-1.6627105380500899</v>
      </c>
      <c r="E112">
        <v>0.112779301893784</v>
      </c>
      <c r="F112">
        <v>20</v>
      </c>
      <c r="G112" t="str">
        <f>VLOOKUP(A112,[1]inrix_key!$A:$C,3,FALSE)</f>
        <v>Colchester_W</v>
      </c>
      <c r="H112">
        <f t="shared" si="1"/>
        <v>-1.0883702204658059</v>
      </c>
    </row>
    <row r="113" spans="1:8" x14ac:dyDescent="0.25">
      <c r="A113">
        <v>448695752</v>
      </c>
      <c r="B113" t="s">
        <v>9</v>
      </c>
      <c r="C113">
        <v>-1.7294517488015901E-2</v>
      </c>
      <c r="D113">
        <v>-2.3232187184541901</v>
      </c>
      <c r="E113">
        <v>3.28271293624674E-2</v>
      </c>
      <c r="F113">
        <v>18</v>
      </c>
      <c r="G113" t="str">
        <f>VLOOKUP(A113,[1]inrix_key!$A:$C,3,FALSE)</f>
        <v>IslandWood_N</v>
      </c>
      <c r="H113">
        <f t="shared" si="1"/>
        <v>-1.037671049280954</v>
      </c>
    </row>
    <row r="114" spans="1:8" x14ac:dyDescent="0.25">
      <c r="A114">
        <v>448725595</v>
      </c>
      <c r="B114" t="s">
        <v>7</v>
      </c>
      <c r="C114">
        <v>-1.7251889695271999E-2</v>
      </c>
      <c r="D114">
        <v>-2.8975022334099698</v>
      </c>
      <c r="E114">
        <v>1.7667082744450901E-2</v>
      </c>
      <c r="F114">
        <v>10</v>
      </c>
      <c r="G114" t="str">
        <f>VLOOKUP(A114,[1]inrix_key!$A:$C,3,FALSE)</f>
        <v>StLukes_S</v>
      </c>
      <c r="H114">
        <f t="shared" si="1"/>
        <v>-1.0351133817163198</v>
      </c>
    </row>
    <row r="115" spans="1:8" x14ac:dyDescent="0.25">
      <c r="A115">
        <v>1187334983</v>
      </c>
      <c r="B115" t="s">
        <v>9</v>
      </c>
      <c r="C115">
        <v>-1.55305492473642E-2</v>
      </c>
      <c r="D115">
        <v>-1.7411830746986601</v>
      </c>
      <c r="E115">
        <v>9.7820220003976999E-2</v>
      </c>
      <c r="F115">
        <v>20</v>
      </c>
      <c r="G115" t="str">
        <f>VLOOKUP(A115,[1]inrix_key!$A:$C,3,FALSE)</f>
        <v>Wainwright_N</v>
      </c>
      <c r="H115">
        <f t="shared" si="1"/>
        <v>-0.93183295484185202</v>
      </c>
    </row>
    <row r="116" spans="1:8" x14ac:dyDescent="0.25">
      <c r="A116">
        <v>428958434</v>
      </c>
      <c r="B116" t="s">
        <v>9</v>
      </c>
      <c r="C116">
        <v>-1.52915564977678E-2</v>
      </c>
      <c r="D116">
        <v>-1.43470493062353</v>
      </c>
      <c r="E116">
        <v>0.16762736445595799</v>
      </c>
      <c r="F116">
        <v>20</v>
      </c>
      <c r="G116">
        <f>VLOOKUP(A116,[1]inrix_key!$A:$C,3,FALSE)</f>
        <v>0</v>
      </c>
      <c r="H116">
        <f t="shared" si="1"/>
        <v>-0.91749338986606799</v>
      </c>
    </row>
    <row r="117" spans="1:8" x14ac:dyDescent="0.25">
      <c r="A117">
        <v>384121516</v>
      </c>
      <c r="B117" t="s">
        <v>7</v>
      </c>
      <c r="C117">
        <v>-1.51904761904761E-2</v>
      </c>
      <c r="D117">
        <v>-0.80302050274695802</v>
      </c>
      <c r="E117">
        <v>0.45259082187525601</v>
      </c>
      <c r="F117">
        <v>7</v>
      </c>
      <c r="G117" t="str">
        <f>VLOOKUP(A117,[1]inrix_key!$A:$C,3,FALSE)</f>
        <v>McMillan_W</v>
      </c>
      <c r="H117">
        <f t="shared" si="1"/>
        <v>-0.91142857142856604</v>
      </c>
    </row>
    <row r="118" spans="1:8" x14ac:dyDescent="0.25">
      <c r="A118">
        <v>1187532837</v>
      </c>
      <c r="B118" t="s">
        <v>7</v>
      </c>
      <c r="C118">
        <v>-1.4566514041514E-2</v>
      </c>
      <c r="D118">
        <v>-2.3626533774849801</v>
      </c>
      <c r="E118">
        <v>4.2416552761096502E-2</v>
      </c>
      <c r="F118">
        <v>10</v>
      </c>
      <c r="G118" t="str">
        <f>VLOOKUP(A118,[1]inrix_key!$A:$C,3,FALSE)</f>
        <v>HobbleCreek_N</v>
      </c>
      <c r="H118">
        <f t="shared" si="1"/>
        <v>-0.87399084249084003</v>
      </c>
    </row>
    <row r="119" spans="1:8" x14ac:dyDescent="0.25">
      <c r="A119">
        <v>448695751</v>
      </c>
      <c r="B119" t="s">
        <v>9</v>
      </c>
      <c r="C119">
        <v>-1.4432106552527E-2</v>
      </c>
      <c r="D119">
        <v>-1.70002232043644</v>
      </c>
      <c r="E119">
        <v>0.107347932107882</v>
      </c>
      <c r="F119">
        <v>18</v>
      </c>
      <c r="G119" t="str">
        <f>VLOOKUP(A119,[1]inrix_key!$A:$C,3,FALSE)</f>
        <v>Riverside_N</v>
      </c>
      <c r="H119">
        <f t="shared" si="1"/>
        <v>-0.86592639315162001</v>
      </c>
    </row>
    <row r="120" spans="1:8" x14ac:dyDescent="0.25">
      <c r="A120">
        <v>1187635580</v>
      </c>
      <c r="B120" t="s">
        <v>8</v>
      </c>
      <c r="C120">
        <v>-1.41483918128654E-2</v>
      </c>
      <c r="D120">
        <v>-2.5295508198838998</v>
      </c>
      <c r="E120">
        <v>3.9258704437653301E-2</v>
      </c>
      <c r="F120">
        <v>8</v>
      </c>
      <c r="G120" t="str">
        <f>VLOOKUP(A120,[1]inrix_key!$A:$C,3,FALSE)</f>
        <v>WB_S</v>
      </c>
      <c r="H120">
        <f t="shared" si="1"/>
        <v>-0.848903508771924</v>
      </c>
    </row>
    <row r="121" spans="1:8" x14ac:dyDescent="0.25">
      <c r="A121">
        <v>428958434</v>
      </c>
      <c r="B121" t="s">
        <v>7</v>
      </c>
      <c r="C121">
        <v>-1.4036928104575099E-2</v>
      </c>
      <c r="D121">
        <v>-1.4466592161004901</v>
      </c>
      <c r="E121">
        <v>0.181905697756364</v>
      </c>
      <c r="F121">
        <v>10</v>
      </c>
      <c r="G121">
        <f>VLOOKUP(A121,[1]inrix_key!$A:$C,3,FALSE)</f>
        <v>0</v>
      </c>
      <c r="H121">
        <f t="shared" si="1"/>
        <v>-0.84221568627450594</v>
      </c>
    </row>
    <row r="122" spans="1:8" x14ac:dyDescent="0.25">
      <c r="A122">
        <v>448725599</v>
      </c>
      <c r="B122" t="s">
        <v>9</v>
      </c>
      <c r="C122">
        <v>-1.32684665416282E-2</v>
      </c>
      <c r="D122">
        <v>-1.2071754275016799</v>
      </c>
      <c r="E122">
        <v>0.24217890950169901</v>
      </c>
      <c r="F122">
        <v>20</v>
      </c>
      <c r="G122" t="str">
        <f>VLOOKUP(A122,[1]inrix_key!$A:$C,3,FALSE)</f>
        <v>Chinden_S</v>
      </c>
      <c r="H122">
        <f t="shared" si="1"/>
        <v>-0.79610799249769204</v>
      </c>
    </row>
    <row r="123" spans="1:8" x14ac:dyDescent="0.25">
      <c r="A123">
        <v>1187636735</v>
      </c>
      <c r="B123" t="s">
        <v>7</v>
      </c>
      <c r="C123">
        <v>-1.27212481962481E-2</v>
      </c>
      <c r="D123">
        <v>-2.2060008179806498</v>
      </c>
      <c r="E123">
        <v>5.4801592256005303E-2</v>
      </c>
      <c r="F123">
        <v>10</v>
      </c>
      <c r="G123" t="str">
        <f>VLOOKUP(A123,[1]inrix_key!$A:$C,3,FALSE)</f>
        <v>WB_E</v>
      </c>
      <c r="H123">
        <f t="shared" si="1"/>
        <v>-0.76327489177488606</v>
      </c>
    </row>
    <row r="124" spans="1:8" x14ac:dyDescent="0.25">
      <c r="A124">
        <v>1187654609</v>
      </c>
      <c r="B124" t="s">
        <v>9</v>
      </c>
      <c r="C124">
        <v>-1.22368936575979E-2</v>
      </c>
      <c r="D124">
        <v>-0.99493882838213299</v>
      </c>
      <c r="E124">
        <v>0.33226908757963203</v>
      </c>
      <c r="F124">
        <v>20</v>
      </c>
      <c r="G124" t="str">
        <f>VLOOKUP(A124,[1]inrix_key!$A:$C,3,FALSE)</f>
        <v>Pine_N</v>
      </c>
      <c r="H124">
        <f t="shared" si="1"/>
        <v>-0.73421361945587404</v>
      </c>
    </row>
    <row r="125" spans="1:8" x14ac:dyDescent="0.25">
      <c r="A125">
        <v>448694757</v>
      </c>
      <c r="B125" t="s">
        <v>6</v>
      </c>
      <c r="C125">
        <v>-1.2024853801169501E-2</v>
      </c>
      <c r="D125">
        <v>-1.46071376923255</v>
      </c>
      <c r="E125">
        <v>0.16043409737409001</v>
      </c>
      <c r="F125">
        <v>20</v>
      </c>
      <c r="G125" t="str">
        <f>VLOOKUP(A125,[1]inrix_key!$A:$C,3,FALSE)</f>
        <v>Ustick_W</v>
      </c>
      <c r="H125">
        <f t="shared" si="1"/>
        <v>-0.72149122807017008</v>
      </c>
    </row>
    <row r="126" spans="1:8" x14ac:dyDescent="0.25">
      <c r="A126">
        <v>1187636735</v>
      </c>
      <c r="B126" t="s">
        <v>9</v>
      </c>
      <c r="C126">
        <v>-1.20104990769464E-2</v>
      </c>
      <c r="D126">
        <v>-1.13375766736511</v>
      </c>
      <c r="E126">
        <v>0.27099949245578803</v>
      </c>
      <c r="F126">
        <v>20</v>
      </c>
      <c r="G126" t="str">
        <f>VLOOKUP(A126,[1]inrix_key!$A:$C,3,FALSE)</f>
        <v>WB_E</v>
      </c>
      <c r="H126">
        <f t="shared" si="1"/>
        <v>-0.72062994461678398</v>
      </c>
    </row>
    <row r="127" spans="1:8" x14ac:dyDescent="0.25">
      <c r="A127">
        <v>448697007</v>
      </c>
      <c r="B127" t="s">
        <v>7</v>
      </c>
      <c r="C127">
        <v>-1.19516339869281E-2</v>
      </c>
      <c r="D127">
        <v>-1.3238506061195401</v>
      </c>
      <c r="E127">
        <v>0.21818996437730201</v>
      </c>
      <c r="F127">
        <v>10</v>
      </c>
      <c r="G127" t="str">
        <f>VLOOKUP(A127,[1]inrix_key!$A:$C,3,FALSE)</f>
        <v>WB_N</v>
      </c>
      <c r="H127">
        <f t="shared" si="1"/>
        <v>-0.71709803921568593</v>
      </c>
    </row>
    <row r="128" spans="1:8" x14ac:dyDescent="0.25">
      <c r="A128">
        <v>1187548987</v>
      </c>
      <c r="B128" t="s">
        <v>7</v>
      </c>
      <c r="C128">
        <v>-1.18432429498605E-2</v>
      </c>
      <c r="D128">
        <v>-4.80934639519469</v>
      </c>
      <c r="E128">
        <v>9.6112321793768703E-4</v>
      </c>
      <c r="F128">
        <v>10</v>
      </c>
      <c r="G128" t="str">
        <f>VLOOKUP(A128,[1]inrix_key!$A:$C,3,FALSE)</f>
        <v>McMillan_S</v>
      </c>
      <c r="H128">
        <f t="shared" si="1"/>
        <v>-0.71059457699162998</v>
      </c>
    </row>
    <row r="129" spans="1:8" x14ac:dyDescent="0.25">
      <c r="A129">
        <v>1187466917</v>
      </c>
      <c r="B129" t="s">
        <v>6</v>
      </c>
      <c r="C129">
        <v>-1.17412280701754E-2</v>
      </c>
      <c r="D129">
        <v>-1.51054946098654</v>
      </c>
      <c r="E129">
        <v>0.14735594685948999</v>
      </c>
      <c r="F129">
        <v>20</v>
      </c>
      <c r="G129" t="str">
        <f>VLOOKUP(A129,[1]inrix_key!$A:$C,3,FALSE)</f>
        <v>Colchester_S</v>
      </c>
      <c r="H129">
        <f t="shared" si="1"/>
        <v>-0.70447368421052392</v>
      </c>
    </row>
    <row r="130" spans="1:8" x14ac:dyDescent="0.25">
      <c r="A130">
        <v>384121516</v>
      </c>
      <c r="B130" t="s">
        <v>8</v>
      </c>
      <c r="C130">
        <v>-1.14970330237358E-2</v>
      </c>
      <c r="D130">
        <v>-1.8754750211321201</v>
      </c>
      <c r="E130">
        <v>0.102847360866494</v>
      </c>
      <c r="F130">
        <v>8</v>
      </c>
      <c r="G130" t="str">
        <f>VLOOKUP(A130,[1]inrix_key!$A:$C,3,FALSE)</f>
        <v>McMillan_W</v>
      </c>
      <c r="H130">
        <f t="shared" ref="H130:H193" si="2">60*C130</f>
        <v>-0.68982198142414797</v>
      </c>
    </row>
    <row r="131" spans="1:8" x14ac:dyDescent="0.25">
      <c r="A131">
        <v>428958435</v>
      </c>
      <c r="B131" t="s">
        <v>7</v>
      </c>
      <c r="C131">
        <v>-1.0262715062715E-2</v>
      </c>
      <c r="D131">
        <v>-2.0011222069466901</v>
      </c>
      <c r="E131">
        <v>7.6414436972844099E-2</v>
      </c>
      <c r="F131">
        <v>10</v>
      </c>
      <c r="G131">
        <f>VLOOKUP(A131,[1]inrix_key!$A:$C,3,FALSE)</f>
        <v>0</v>
      </c>
      <c r="H131">
        <f t="shared" si="2"/>
        <v>-0.61576290376289999</v>
      </c>
    </row>
    <row r="132" spans="1:8" x14ac:dyDescent="0.25">
      <c r="A132">
        <v>448695753</v>
      </c>
      <c r="B132" t="s">
        <v>7</v>
      </c>
      <c r="C132">
        <v>-9.88977166624227E-3</v>
      </c>
      <c r="D132">
        <v>-1.9191411349433001</v>
      </c>
      <c r="E132">
        <v>8.7176342496882997E-2</v>
      </c>
      <c r="F132">
        <v>10</v>
      </c>
      <c r="G132" t="str">
        <f>VLOOKUP(A132,[1]inrix_key!$A:$C,3,FALSE)</f>
        <v>Riverside_S</v>
      </c>
      <c r="H132">
        <f t="shared" si="2"/>
        <v>-0.59338629997453618</v>
      </c>
    </row>
    <row r="133" spans="1:8" x14ac:dyDescent="0.25">
      <c r="A133">
        <v>1187532837</v>
      </c>
      <c r="B133" t="s">
        <v>9</v>
      </c>
      <c r="C133">
        <v>-9.0519940201380707E-3</v>
      </c>
      <c r="D133">
        <v>-1.6897932782804601</v>
      </c>
      <c r="E133">
        <v>0.108312465038439</v>
      </c>
      <c r="F133">
        <v>19</v>
      </c>
      <c r="G133" t="str">
        <f>VLOOKUP(A133,[1]inrix_key!$A:$C,3,FALSE)</f>
        <v>HobbleCreek_N</v>
      </c>
      <c r="H133">
        <f t="shared" si="2"/>
        <v>-0.54311964120828427</v>
      </c>
    </row>
    <row r="134" spans="1:8" x14ac:dyDescent="0.25">
      <c r="A134">
        <v>117772024</v>
      </c>
      <c r="B134" t="s">
        <v>9</v>
      </c>
      <c r="C134">
        <v>-8.9099282163007699E-3</v>
      </c>
      <c r="D134">
        <v>-0.52044531786653703</v>
      </c>
      <c r="E134">
        <v>0.61684590451950005</v>
      </c>
      <c r="F134">
        <v>9</v>
      </c>
      <c r="G134" t="str">
        <f>VLOOKUP(A134,[1]inrix_key!$A:$C,3,FALSE)</f>
        <v>IslandWood_W</v>
      </c>
      <c r="H134">
        <f t="shared" si="2"/>
        <v>-0.53459569297804621</v>
      </c>
    </row>
    <row r="135" spans="1:8" x14ac:dyDescent="0.25">
      <c r="A135">
        <v>1187377510</v>
      </c>
      <c r="B135" t="s">
        <v>8</v>
      </c>
      <c r="C135">
        <v>-8.6513157894736598E-3</v>
      </c>
      <c r="D135">
        <v>-0.76828712181793901</v>
      </c>
      <c r="E135">
        <v>0.46743893421382599</v>
      </c>
      <c r="F135">
        <v>8</v>
      </c>
      <c r="G135" t="str">
        <f>VLOOKUP(A135,[1]inrix_key!$A:$C,3,FALSE)</f>
        <v>EB_S</v>
      </c>
      <c r="H135">
        <f t="shared" si="2"/>
        <v>-0.51907894736841964</v>
      </c>
    </row>
    <row r="136" spans="1:8" x14ac:dyDescent="0.25">
      <c r="A136">
        <v>448695752</v>
      </c>
      <c r="B136" t="s">
        <v>8</v>
      </c>
      <c r="C136">
        <v>-8.6074561403508797E-3</v>
      </c>
      <c r="D136">
        <v>-3.2181334440615399</v>
      </c>
      <c r="E136">
        <v>1.46913796261321E-2</v>
      </c>
      <c r="F136">
        <v>8</v>
      </c>
      <c r="G136" t="str">
        <f>VLOOKUP(A136,[1]inrix_key!$A:$C,3,FALSE)</f>
        <v>IslandWood_N</v>
      </c>
      <c r="H136">
        <f t="shared" si="2"/>
        <v>-0.51644736842105277</v>
      </c>
    </row>
    <row r="137" spans="1:8" x14ac:dyDescent="0.25">
      <c r="A137">
        <v>448725599</v>
      </c>
      <c r="B137" t="s">
        <v>7</v>
      </c>
      <c r="C137">
        <v>-8.0856601731601804E-3</v>
      </c>
      <c r="D137">
        <v>-0.67089287023436806</v>
      </c>
      <c r="E137">
        <v>0.51913337595739895</v>
      </c>
      <c r="F137">
        <v>10</v>
      </c>
      <c r="G137" t="str">
        <f>VLOOKUP(A137,[1]inrix_key!$A:$C,3,FALSE)</f>
        <v>Chinden_S</v>
      </c>
      <c r="H137">
        <f t="shared" si="2"/>
        <v>-0.48513961038961084</v>
      </c>
    </row>
    <row r="138" spans="1:8" x14ac:dyDescent="0.25">
      <c r="A138">
        <v>428958433</v>
      </c>
      <c r="B138" t="s">
        <v>6</v>
      </c>
      <c r="C138">
        <v>-6.8304093567251398E-3</v>
      </c>
      <c r="D138">
        <v>-5.4343110266043801</v>
      </c>
      <c r="E138" s="1">
        <v>3.0418888442020601E-5</v>
      </c>
      <c r="F138">
        <v>20</v>
      </c>
      <c r="G138" t="str">
        <f>VLOOKUP(A138,[1]inrix_key!$A:$C,3,FALSE)</f>
        <v>EB_S</v>
      </c>
      <c r="H138">
        <f t="shared" si="2"/>
        <v>-0.40982456140350837</v>
      </c>
    </row>
    <row r="139" spans="1:8" x14ac:dyDescent="0.25">
      <c r="A139">
        <v>448694747</v>
      </c>
      <c r="B139" t="s">
        <v>7</v>
      </c>
      <c r="C139">
        <v>-6.5465728715728699E-3</v>
      </c>
      <c r="D139">
        <v>-0.53192559496939795</v>
      </c>
      <c r="E139">
        <v>0.60765586862844301</v>
      </c>
      <c r="F139">
        <v>10</v>
      </c>
      <c r="G139" t="str">
        <f>VLOOKUP(A139,[1]inrix_key!$A:$C,3,FALSE)</f>
        <v>Fairview_W</v>
      </c>
      <c r="H139">
        <f t="shared" si="2"/>
        <v>-0.3927943722943722</v>
      </c>
    </row>
    <row r="140" spans="1:8" x14ac:dyDescent="0.25">
      <c r="A140">
        <v>1187377510</v>
      </c>
      <c r="B140" t="s">
        <v>9</v>
      </c>
      <c r="C140">
        <v>-5.4654072879305E-3</v>
      </c>
      <c r="D140">
        <v>-0.99289829057321</v>
      </c>
      <c r="E140">
        <v>0.33323701523646798</v>
      </c>
      <c r="F140">
        <v>20</v>
      </c>
      <c r="G140" t="str">
        <f>VLOOKUP(A140,[1]inrix_key!$A:$C,3,FALSE)</f>
        <v>EB_S</v>
      </c>
      <c r="H140">
        <f t="shared" si="2"/>
        <v>-0.32792443727582998</v>
      </c>
    </row>
    <row r="141" spans="1:8" x14ac:dyDescent="0.25">
      <c r="A141">
        <v>119501618</v>
      </c>
      <c r="B141" t="s">
        <v>7</v>
      </c>
      <c r="C141">
        <v>-4.8790598290598701E-3</v>
      </c>
      <c r="D141">
        <v>-0.43233932345548898</v>
      </c>
      <c r="E141">
        <v>0.67566887126541697</v>
      </c>
      <c r="F141">
        <v>10</v>
      </c>
      <c r="G141" t="str">
        <f>VLOOKUP(A141,[1]inrix_key!$A:$C,3,FALSE)</f>
        <v>McMillan_N</v>
      </c>
      <c r="H141">
        <f t="shared" si="2"/>
        <v>-0.29274358974359221</v>
      </c>
    </row>
    <row r="142" spans="1:8" x14ac:dyDescent="0.25">
      <c r="A142">
        <v>1187577122</v>
      </c>
      <c r="B142" t="s">
        <v>9</v>
      </c>
      <c r="C142">
        <v>-4.58342914938156E-3</v>
      </c>
      <c r="D142">
        <v>-0.27892170541236899</v>
      </c>
      <c r="E142">
        <v>0.78348418447578405</v>
      </c>
      <c r="F142">
        <v>19</v>
      </c>
      <c r="G142" t="str">
        <f>VLOOKUP(A142,[1]inrix_key!$A:$C,3,FALSE)</f>
        <v>Chinden_E</v>
      </c>
      <c r="H142">
        <f t="shared" si="2"/>
        <v>-0.27500574896289359</v>
      </c>
    </row>
    <row r="143" spans="1:8" x14ac:dyDescent="0.25">
      <c r="A143">
        <v>484366819</v>
      </c>
      <c r="B143" t="s">
        <v>8</v>
      </c>
      <c r="C143">
        <v>-4.5687134502924E-3</v>
      </c>
      <c r="D143">
        <v>-0.68093922965229903</v>
      </c>
      <c r="E143">
        <v>0.51779368289612804</v>
      </c>
      <c r="F143">
        <v>8</v>
      </c>
      <c r="G143" t="str">
        <f>VLOOKUP(A143,[1]inrix_key!$A:$C,3,FALSE)</f>
        <v>Pine_E</v>
      </c>
      <c r="H143">
        <f t="shared" si="2"/>
        <v>-0.27412280701754399</v>
      </c>
    </row>
    <row r="144" spans="1:8" x14ac:dyDescent="0.25">
      <c r="A144">
        <v>428958433</v>
      </c>
      <c r="B144" t="s">
        <v>8</v>
      </c>
      <c r="C144">
        <v>-4.2543859649122797E-3</v>
      </c>
      <c r="D144">
        <v>-5.1612807502172799</v>
      </c>
      <c r="E144">
        <v>1.3076073749262299E-3</v>
      </c>
      <c r="F144">
        <v>8</v>
      </c>
      <c r="G144" t="str">
        <f>VLOOKUP(A144,[1]inrix_key!$A:$C,3,FALSE)</f>
        <v>EB_S</v>
      </c>
      <c r="H144">
        <f t="shared" si="2"/>
        <v>-0.2552631578947368</v>
      </c>
    </row>
    <row r="145" spans="1:8" x14ac:dyDescent="0.25">
      <c r="A145">
        <v>484371307</v>
      </c>
      <c r="B145" t="s">
        <v>8</v>
      </c>
      <c r="C145">
        <v>-4.2178362573099103E-3</v>
      </c>
      <c r="D145">
        <v>-0.83014953930893698</v>
      </c>
      <c r="E145">
        <v>0.43384978009061298</v>
      </c>
      <c r="F145">
        <v>8</v>
      </c>
      <c r="G145" t="str">
        <f>VLOOKUP(A145,[1]inrix_key!$A:$C,3,FALSE)</f>
        <v>Pine_E</v>
      </c>
      <c r="H145">
        <f t="shared" si="2"/>
        <v>-0.25307017543859461</v>
      </c>
    </row>
    <row r="146" spans="1:8" x14ac:dyDescent="0.25">
      <c r="A146">
        <v>1187654609</v>
      </c>
      <c r="B146" t="s">
        <v>7</v>
      </c>
      <c r="C146">
        <v>-4.0361280875987103E-3</v>
      </c>
      <c r="D146">
        <v>-0.58360884189586604</v>
      </c>
      <c r="E146">
        <v>0.57381620156313395</v>
      </c>
      <c r="F146">
        <v>10</v>
      </c>
      <c r="G146" t="str">
        <f>VLOOKUP(A146,[1]inrix_key!$A:$C,3,FALSE)</f>
        <v>Pine_N</v>
      </c>
      <c r="H146">
        <f t="shared" si="2"/>
        <v>-0.24216768525592261</v>
      </c>
    </row>
    <row r="147" spans="1:8" x14ac:dyDescent="0.25">
      <c r="A147">
        <v>428958434</v>
      </c>
      <c r="B147" t="s">
        <v>8</v>
      </c>
      <c r="C147">
        <v>-3.0226608187134498E-3</v>
      </c>
      <c r="D147">
        <v>-0.43723120860631698</v>
      </c>
      <c r="E147">
        <v>0.67511514729894495</v>
      </c>
      <c r="F147">
        <v>8</v>
      </c>
      <c r="G147">
        <f>VLOOKUP(A147,[1]inrix_key!$A:$C,3,FALSE)</f>
        <v>0</v>
      </c>
      <c r="H147">
        <f t="shared" si="2"/>
        <v>-0.181359649122807</v>
      </c>
    </row>
    <row r="148" spans="1:8" x14ac:dyDescent="0.25">
      <c r="A148">
        <v>1187377510</v>
      </c>
      <c r="B148" t="s">
        <v>7</v>
      </c>
      <c r="C148">
        <v>-2.8464052287581602E-3</v>
      </c>
      <c r="D148">
        <v>-0.374168153762578</v>
      </c>
      <c r="E148">
        <v>0.71694240822126398</v>
      </c>
      <c r="F148">
        <v>10</v>
      </c>
      <c r="G148" t="str">
        <f>VLOOKUP(A148,[1]inrix_key!$A:$C,3,FALSE)</f>
        <v>EB_S</v>
      </c>
      <c r="H148">
        <f t="shared" si="2"/>
        <v>-0.17078431372548961</v>
      </c>
    </row>
    <row r="149" spans="1:8" x14ac:dyDescent="0.25">
      <c r="A149">
        <v>448725597</v>
      </c>
      <c r="B149" t="s">
        <v>9</v>
      </c>
      <c r="C149">
        <v>-2.8128616865641101E-3</v>
      </c>
      <c r="D149">
        <v>-0.14635663566762899</v>
      </c>
      <c r="E149">
        <v>0.88546800445370899</v>
      </c>
      <c r="F149">
        <v>17</v>
      </c>
      <c r="G149" t="str">
        <f>VLOOKUP(A149,[1]inrix_key!$A:$C,3,FALSE)</f>
        <v>Ustick_E</v>
      </c>
      <c r="H149">
        <f t="shared" si="2"/>
        <v>-0.1687717011938466</v>
      </c>
    </row>
    <row r="150" spans="1:8" x14ac:dyDescent="0.25">
      <c r="A150">
        <v>448697008</v>
      </c>
      <c r="B150" t="s">
        <v>7</v>
      </c>
      <c r="C150">
        <v>-2.0240567439097001E-3</v>
      </c>
      <c r="D150">
        <v>-0.21256021934370101</v>
      </c>
      <c r="E150">
        <v>0.83640629544217204</v>
      </c>
      <c r="F150">
        <v>10</v>
      </c>
      <c r="G150" t="str">
        <f>VLOOKUP(A150,[1]inrix_key!$A:$C,3,FALSE)</f>
        <v>RiverValley_S</v>
      </c>
      <c r="H150">
        <f t="shared" si="2"/>
        <v>-0.121443404634582</v>
      </c>
    </row>
    <row r="151" spans="1:8" x14ac:dyDescent="0.25">
      <c r="A151">
        <v>448697011</v>
      </c>
      <c r="B151" t="s">
        <v>7</v>
      </c>
      <c r="C151">
        <v>-1.87319518716574E-3</v>
      </c>
      <c r="D151">
        <v>-0.179586951944566</v>
      </c>
      <c r="E151">
        <v>0.86145504826761199</v>
      </c>
      <c r="F151">
        <v>10</v>
      </c>
      <c r="G151" t="str">
        <f>VLOOKUP(A151,[1]inrix_key!$A:$C,3,FALSE)</f>
        <v>Fairview_N</v>
      </c>
      <c r="H151">
        <f t="shared" si="2"/>
        <v>-0.1123917112299444</v>
      </c>
    </row>
    <row r="152" spans="1:8" x14ac:dyDescent="0.25">
      <c r="A152">
        <v>484347992</v>
      </c>
      <c r="B152" t="s">
        <v>9</v>
      </c>
      <c r="C152">
        <v>-1.8551616774655901E-3</v>
      </c>
      <c r="D152">
        <v>-1.8543800656759399</v>
      </c>
      <c r="E152">
        <v>8.1115848221119904E-2</v>
      </c>
      <c r="F152">
        <v>18</v>
      </c>
      <c r="G152">
        <f>VLOOKUP(A152,[1]inrix_key!$A:$C,3,FALSE)</f>
        <v>0</v>
      </c>
      <c r="H152">
        <f t="shared" si="2"/>
        <v>-0.1113097006479354</v>
      </c>
    </row>
    <row r="153" spans="1:8" x14ac:dyDescent="0.25">
      <c r="A153">
        <v>1187586311</v>
      </c>
      <c r="B153" t="s">
        <v>8</v>
      </c>
      <c r="C153">
        <v>-1.46929824561409E-3</v>
      </c>
      <c r="D153">
        <v>-0.17044972530748101</v>
      </c>
      <c r="E153">
        <v>0.86947842198738801</v>
      </c>
      <c r="F153">
        <v>8</v>
      </c>
      <c r="G153" t="str">
        <f>VLOOKUP(A153,[1]inrix_key!$A:$C,3,FALSE)</f>
        <v>EB_W</v>
      </c>
      <c r="H153">
        <f t="shared" si="2"/>
        <v>-8.8157894736845405E-2</v>
      </c>
    </row>
    <row r="154" spans="1:8" x14ac:dyDescent="0.25">
      <c r="A154">
        <v>428958433</v>
      </c>
      <c r="B154" t="s">
        <v>9</v>
      </c>
      <c r="C154">
        <v>-1.4333449368924001E-3</v>
      </c>
      <c r="D154">
        <v>-0.42728144143542901</v>
      </c>
      <c r="E154">
        <v>0.67453720653493399</v>
      </c>
      <c r="F154">
        <v>18</v>
      </c>
      <c r="G154" t="str">
        <f>VLOOKUP(A154,[1]inrix_key!$A:$C,3,FALSE)</f>
        <v>EB_S</v>
      </c>
      <c r="H154">
        <f t="shared" si="2"/>
        <v>-8.6000696213544003E-2</v>
      </c>
    </row>
    <row r="155" spans="1:8" x14ac:dyDescent="0.25">
      <c r="A155">
        <v>1187635580</v>
      </c>
      <c r="B155" t="s">
        <v>7</v>
      </c>
      <c r="C155">
        <v>-1.376443001443E-3</v>
      </c>
      <c r="D155">
        <v>-0.159791008364918</v>
      </c>
      <c r="E155">
        <v>0.87657440064182601</v>
      </c>
      <c r="F155">
        <v>10</v>
      </c>
      <c r="G155" t="str">
        <f>VLOOKUP(A155,[1]inrix_key!$A:$C,3,FALSE)</f>
        <v>WB_S</v>
      </c>
      <c r="H155">
        <f t="shared" si="2"/>
        <v>-8.258658008658E-2</v>
      </c>
    </row>
    <row r="156" spans="1:8" x14ac:dyDescent="0.25">
      <c r="A156">
        <v>448695751</v>
      </c>
      <c r="B156" t="s">
        <v>8</v>
      </c>
      <c r="C156">
        <v>-1.31213450292397E-3</v>
      </c>
      <c r="D156">
        <v>-0.27745596072564599</v>
      </c>
      <c r="E156">
        <v>0.78944537145454896</v>
      </c>
      <c r="F156">
        <v>8</v>
      </c>
      <c r="G156" t="str">
        <f>VLOOKUP(A156,[1]inrix_key!$A:$C,3,FALSE)</f>
        <v>Riverside_N</v>
      </c>
      <c r="H156">
        <f t="shared" si="2"/>
        <v>-7.8728070175438203E-2</v>
      </c>
    </row>
    <row r="157" spans="1:8" x14ac:dyDescent="0.25">
      <c r="A157">
        <v>1187335042</v>
      </c>
      <c r="B157" t="s">
        <v>9</v>
      </c>
      <c r="C157">
        <v>-9.4540028526504801E-4</v>
      </c>
      <c r="D157">
        <v>-7.8773388845042897E-2</v>
      </c>
      <c r="E157">
        <v>0.93808199330762199</v>
      </c>
      <c r="F157">
        <v>19</v>
      </c>
      <c r="G157" t="str">
        <f>VLOOKUP(A157,[1]inrix_key!$A:$C,3,FALSE)</f>
        <v>Ustick_N</v>
      </c>
      <c r="H157">
        <f t="shared" si="2"/>
        <v>-5.6724017115902879E-2</v>
      </c>
    </row>
    <row r="158" spans="1:8" x14ac:dyDescent="0.25">
      <c r="A158">
        <v>1187612015</v>
      </c>
      <c r="B158" t="s">
        <v>7</v>
      </c>
      <c r="C158" s="1">
        <v>2.6603951603931799E-5</v>
      </c>
      <c r="D158">
        <v>2.61743889812819E-3</v>
      </c>
      <c r="E158">
        <v>0.99796868724850396</v>
      </c>
      <c r="F158">
        <v>10</v>
      </c>
      <c r="G158" t="str">
        <f>VLOOKUP(A158,[1]inrix_key!$A:$C,3,FALSE)</f>
        <v>Chinden_W</v>
      </c>
      <c r="H158">
        <f t="shared" si="2"/>
        <v>1.5962370962359078E-3</v>
      </c>
    </row>
    <row r="159" spans="1:8" x14ac:dyDescent="0.25">
      <c r="A159">
        <v>1187335042</v>
      </c>
      <c r="B159" t="s">
        <v>6</v>
      </c>
      <c r="C159" s="1">
        <v>2.9239766081845502E-5</v>
      </c>
      <c r="D159">
        <v>1.0019363491594799E-3</v>
      </c>
      <c r="E159">
        <v>0.99921101572760596</v>
      </c>
      <c r="F159">
        <v>20</v>
      </c>
      <c r="G159" t="str">
        <f>VLOOKUP(A159,[1]inrix_key!$A:$C,3,FALSE)</f>
        <v>Ustick_N</v>
      </c>
      <c r="H159">
        <f t="shared" si="2"/>
        <v>1.7543859649107301E-3</v>
      </c>
    </row>
    <row r="160" spans="1:8" x14ac:dyDescent="0.25">
      <c r="A160">
        <v>484347992</v>
      </c>
      <c r="B160" t="s">
        <v>6</v>
      </c>
      <c r="C160">
        <v>3.04609563123495E-4</v>
      </c>
      <c r="D160">
        <v>1.0267526827372899</v>
      </c>
      <c r="E160">
        <v>0.31743196577716698</v>
      </c>
      <c r="F160">
        <v>20</v>
      </c>
      <c r="G160">
        <f>VLOOKUP(A160,[1]inrix_key!$A:$C,3,FALSE)</f>
        <v>0</v>
      </c>
      <c r="H160">
        <f t="shared" si="2"/>
        <v>1.8276573787409701E-2</v>
      </c>
    </row>
    <row r="161" spans="1:8" x14ac:dyDescent="0.25">
      <c r="A161">
        <v>448697009</v>
      </c>
      <c r="B161" t="s">
        <v>7</v>
      </c>
      <c r="C161">
        <v>4.9540255496135501E-4</v>
      </c>
      <c r="D161">
        <v>5.87425793475123E-2</v>
      </c>
      <c r="E161">
        <v>0.95444076877612405</v>
      </c>
      <c r="F161">
        <v>10</v>
      </c>
      <c r="G161" t="str">
        <f>VLOOKUP(A161,[1]inrix_key!$A:$C,3,FALSE)</f>
        <v>Ustick_S</v>
      </c>
      <c r="H161">
        <f t="shared" si="2"/>
        <v>2.9724153297681299E-2</v>
      </c>
    </row>
    <row r="162" spans="1:8" x14ac:dyDescent="0.25">
      <c r="A162">
        <v>484347992</v>
      </c>
      <c r="B162" t="s">
        <v>8</v>
      </c>
      <c r="C162">
        <v>1.3206323099415199E-3</v>
      </c>
      <c r="D162">
        <v>2.2064834693433801</v>
      </c>
      <c r="E162">
        <v>6.3124024059387204E-2</v>
      </c>
      <c r="F162">
        <v>8</v>
      </c>
      <c r="G162">
        <f>VLOOKUP(A162,[1]inrix_key!$A:$C,3,FALSE)</f>
        <v>0</v>
      </c>
      <c r="H162">
        <f t="shared" si="2"/>
        <v>7.9237938596491198E-2</v>
      </c>
    </row>
    <row r="163" spans="1:8" x14ac:dyDescent="0.25">
      <c r="A163">
        <v>1187334983</v>
      </c>
      <c r="B163" t="s">
        <v>7</v>
      </c>
      <c r="C163">
        <v>1.74117647058821E-3</v>
      </c>
      <c r="D163">
        <v>0.154488910397442</v>
      </c>
      <c r="E163">
        <v>0.88063320731792805</v>
      </c>
      <c r="F163">
        <v>10</v>
      </c>
      <c r="G163" t="str">
        <f>VLOOKUP(A163,[1]inrix_key!$A:$C,3,FALSE)</f>
        <v>Wainwright_N</v>
      </c>
      <c r="H163">
        <f t="shared" si="2"/>
        <v>0.10447058823529259</v>
      </c>
    </row>
    <row r="164" spans="1:8" x14ac:dyDescent="0.25">
      <c r="A164">
        <v>474871675</v>
      </c>
      <c r="B164" t="s">
        <v>6</v>
      </c>
      <c r="C164">
        <v>3.1018274853801299E-3</v>
      </c>
      <c r="D164">
        <v>0.24270458023649699</v>
      </c>
      <c r="E164">
        <v>0.81083500740254</v>
      </c>
      <c r="F164">
        <v>20</v>
      </c>
      <c r="G164" t="str">
        <f>VLOOKUP(A164,[1]inrix_key!$A:$C,3,FALSE)</f>
        <v>McMillan_E</v>
      </c>
      <c r="H164">
        <f t="shared" si="2"/>
        <v>0.18610964912280781</v>
      </c>
    </row>
    <row r="165" spans="1:8" x14ac:dyDescent="0.25">
      <c r="A165">
        <v>428958433</v>
      </c>
      <c r="B165" t="s">
        <v>7</v>
      </c>
      <c r="C165">
        <v>4.0604395604395601E-3</v>
      </c>
      <c r="D165">
        <v>1.99155606780853</v>
      </c>
      <c r="E165">
        <v>8.15761970591561E-2</v>
      </c>
      <c r="F165">
        <v>9</v>
      </c>
      <c r="G165" t="str">
        <f>VLOOKUP(A165,[1]inrix_key!$A:$C,3,FALSE)</f>
        <v>EB_S</v>
      </c>
      <c r="H165">
        <f t="shared" si="2"/>
        <v>0.2436263736263736</v>
      </c>
    </row>
    <row r="166" spans="1:8" x14ac:dyDescent="0.25">
      <c r="A166">
        <v>448697010</v>
      </c>
      <c r="B166" t="s">
        <v>7</v>
      </c>
      <c r="C166">
        <v>6.2719431712078997E-3</v>
      </c>
      <c r="D166">
        <v>0.87206940056161197</v>
      </c>
      <c r="E166">
        <v>0.40583374570485298</v>
      </c>
      <c r="F166">
        <v>10</v>
      </c>
      <c r="G166" t="str">
        <f>VLOOKUP(A166,[1]inrix_key!$A:$C,3,FALSE)</f>
        <v>RiverValley_N</v>
      </c>
      <c r="H166">
        <f t="shared" si="2"/>
        <v>0.37631659027247399</v>
      </c>
    </row>
    <row r="167" spans="1:8" x14ac:dyDescent="0.25">
      <c r="A167">
        <v>117503882</v>
      </c>
      <c r="B167" t="s">
        <v>9</v>
      </c>
      <c r="C167">
        <v>6.3999660444979999E-3</v>
      </c>
      <c r="D167">
        <v>0.42967217167088301</v>
      </c>
      <c r="E167">
        <v>0.67316457611366498</v>
      </c>
      <c r="F167">
        <v>17</v>
      </c>
      <c r="G167" t="str">
        <f>VLOOKUP(A167,[1]inrix_key!$A:$C,3,FALSE)</f>
        <v>Franklin_E</v>
      </c>
      <c r="H167">
        <f t="shared" si="2"/>
        <v>0.38399796266988001</v>
      </c>
    </row>
    <row r="168" spans="1:8" x14ac:dyDescent="0.25">
      <c r="A168">
        <v>1187333605</v>
      </c>
      <c r="B168" t="s">
        <v>8</v>
      </c>
      <c r="C168">
        <v>6.5606725146198303E-3</v>
      </c>
      <c r="D168">
        <v>1.1539334971034501</v>
      </c>
      <c r="E168">
        <v>0.28639927407574101</v>
      </c>
      <c r="F168">
        <v>8</v>
      </c>
      <c r="G168" t="str">
        <f>VLOOKUP(A168,[1]inrix_key!$A:$C,3,FALSE)</f>
        <v>Colchester_N</v>
      </c>
      <c r="H168">
        <f t="shared" si="2"/>
        <v>0.39364035087718979</v>
      </c>
    </row>
    <row r="169" spans="1:8" x14ac:dyDescent="0.25">
      <c r="A169">
        <v>448694747</v>
      </c>
      <c r="B169" t="s">
        <v>9</v>
      </c>
      <c r="C169">
        <v>6.8104340619820503E-3</v>
      </c>
      <c r="D169">
        <v>0.55654210957400796</v>
      </c>
      <c r="E169">
        <v>0.58469388423801805</v>
      </c>
      <c r="F169">
        <v>19</v>
      </c>
      <c r="G169" t="str">
        <f>VLOOKUP(A169,[1]inrix_key!$A:$C,3,FALSE)</f>
        <v>Fairview_W</v>
      </c>
      <c r="H169">
        <f t="shared" si="2"/>
        <v>0.40862604371892303</v>
      </c>
    </row>
    <row r="170" spans="1:8" x14ac:dyDescent="0.25">
      <c r="A170">
        <v>448725599</v>
      </c>
      <c r="B170" t="s">
        <v>8</v>
      </c>
      <c r="C170">
        <v>7.03581871345024E-3</v>
      </c>
      <c r="D170">
        <v>1.5987893911881199</v>
      </c>
      <c r="E170">
        <v>0.15389987004851399</v>
      </c>
      <c r="F170">
        <v>8</v>
      </c>
      <c r="G170" t="str">
        <f>VLOOKUP(A170,[1]inrix_key!$A:$C,3,FALSE)</f>
        <v>Chinden_S</v>
      </c>
      <c r="H170">
        <f t="shared" si="2"/>
        <v>0.42214912280701439</v>
      </c>
    </row>
    <row r="171" spans="1:8" x14ac:dyDescent="0.25">
      <c r="A171">
        <v>1187579027</v>
      </c>
      <c r="B171" t="s">
        <v>9</v>
      </c>
      <c r="C171">
        <v>8.2940094627594503E-3</v>
      </c>
      <c r="D171">
        <v>0.64117536357065297</v>
      </c>
      <c r="E171">
        <v>0.52906781740919295</v>
      </c>
      <c r="F171">
        <v>20</v>
      </c>
      <c r="G171" t="str">
        <f>VLOOKUP(A171,[1]inrix_key!$A:$C,3,FALSE)</f>
        <v>Fairview_E</v>
      </c>
      <c r="H171">
        <f t="shared" si="2"/>
        <v>0.49764056776556703</v>
      </c>
    </row>
    <row r="172" spans="1:8" x14ac:dyDescent="0.25">
      <c r="A172">
        <v>1187517040</v>
      </c>
      <c r="B172" t="s">
        <v>7</v>
      </c>
      <c r="C172">
        <v>9.5678578774167095E-3</v>
      </c>
      <c r="D172">
        <v>1.9759190697116999</v>
      </c>
      <c r="E172">
        <v>7.9580621202527499E-2</v>
      </c>
      <c r="F172">
        <v>10</v>
      </c>
      <c r="G172" t="str">
        <f>VLOOKUP(A172,[1]inrix_key!$A:$C,3,FALSE)</f>
        <v>Wainwright_S</v>
      </c>
      <c r="H172">
        <f t="shared" si="2"/>
        <v>0.57407147264500258</v>
      </c>
    </row>
    <row r="173" spans="1:8" x14ac:dyDescent="0.25">
      <c r="A173">
        <v>484347992</v>
      </c>
      <c r="B173" t="s">
        <v>7</v>
      </c>
      <c r="C173">
        <v>9.9999999999999898E-3</v>
      </c>
      <c r="F173">
        <v>1</v>
      </c>
      <c r="G173">
        <f>VLOOKUP(A173,[1]inrix_key!$A:$C,3,FALSE)</f>
        <v>0</v>
      </c>
      <c r="H173">
        <f t="shared" si="2"/>
        <v>0.59999999999999942</v>
      </c>
    </row>
    <row r="174" spans="1:8" x14ac:dyDescent="0.25">
      <c r="A174">
        <v>1187548987</v>
      </c>
      <c r="B174" t="s">
        <v>8</v>
      </c>
      <c r="C174">
        <v>1.0391081871345E-2</v>
      </c>
      <c r="D174">
        <v>1.66952239306588</v>
      </c>
      <c r="E174">
        <v>0.13894310393391099</v>
      </c>
      <c r="F174">
        <v>8</v>
      </c>
      <c r="G174" t="str">
        <f>VLOOKUP(A174,[1]inrix_key!$A:$C,3,FALSE)</f>
        <v>McMillan_S</v>
      </c>
      <c r="H174">
        <f t="shared" si="2"/>
        <v>0.6234649122807</v>
      </c>
    </row>
    <row r="175" spans="1:8" x14ac:dyDescent="0.25">
      <c r="A175">
        <v>119241469</v>
      </c>
      <c r="B175" t="s">
        <v>8</v>
      </c>
      <c r="C175">
        <v>1.04126802527537E-2</v>
      </c>
      <c r="D175">
        <v>1.14208300040445</v>
      </c>
      <c r="E175">
        <v>0.290975965724727</v>
      </c>
      <c r="F175">
        <v>8</v>
      </c>
      <c r="G175" t="str">
        <f>VLOOKUP(A175,[1]inrix_key!$A:$C,3,FALSE)</f>
        <v>Colchester_W</v>
      </c>
      <c r="H175">
        <f t="shared" si="2"/>
        <v>0.62476081516522197</v>
      </c>
    </row>
    <row r="176" spans="1:8" x14ac:dyDescent="0.25">
      <c r="A176">
        <v>1187636735</v>
      </c>
      <c r="B176" t="s">
        <v>8</v>
      </c>
      <c r="C176">
        <v>1.07200292397661E-2</v>
      </c>
      <c r="D176">
        <v>1.5477240078892101</v>
      </c>
      <c r="E176">
        <v>0.16561432625971201</v>
      </c>
      <c r="F176">
        <v>8</v>
      </c>
      <c r="G176" t="str">
        <f>VLOOKUP(A176,[1]inrix_key!$A:$C,3,FALSE)</f>
        <v>WB_E</v>
      </c>
      <c r="H176">
        <f t="shared" si="2"/>
        <v>0.64320175438596605</v>
      </c>
    </row>
    <row r="177" spans="1:8" x14ac:dyDescent="0.25">
      <c r="A177">
        <v>448725597</v>
      </c>
      <c r="B177" t="s">
        <v>8</v>
      </c>
      <c r="C177">
        <v>1.30994152046783E-2</v>
      </c>
      <c r="D177">
        <v>1.0976657754760799</v>
      </c>
      <c r="E177">
        <v>0.30866726792912302</v>
      </c>
      <c r="F177">
        <v>8</v>
      </c>
      <c r="G177" t="str">
        <f>VLOOKUP(A177,[1]inrix_key!$A:$C,3,FALSE)</f>
        <v>Ustick_E</v>
      </c>
      <c r="H177">
        <f t="shared" si="2"/>
        <v>0.78596491228069798</v>
      </c>
    </row>
    <row r="178" spans="1:8" x14ac:dyDescent="0.25">
      <c r="A178">
        <v>448695753</v>
      </c>
      <c r="B178" t="s">
        <v>8</v>
      </c>
      <c r="C178">
        <v>1.31542397660818E-2</v>
      </c>
      <c r="D178">
        <v>1.5063811413621899</v>
      </c>
      <c r="E178">
        <v>0.17569373835051499</v>
      </c>
      <c r="F178">
        <v>8</v>
      </c>
      <c r="G178" t="str">
        <f>VLOOKUP(A178,[1]inrix_key!$A:$C,3,FALSE)</f>
        <v>Riverside_S</v>
      </c>
      <c r="H178">
        <f t="shared" si="2"/>
        <v>0.78925438596490805</v>
      </c>
    </row>
    <row r="179" spans="1:8" x14ac:dyDescent="0.25">
      <c r="A179">
        <v>1187612015</v>
      </c>
      <c r="B179" t="s">
        <v>9</v>
      </c>
      <c r="C179">
        <v>1.6434284811335801E-2</v>
      </c>
      <c r="D179">
        <v>1.1849688478406399</v>
      </c>
      <c r="E179">
        <v>0.250640303423802</v>
      </c>
      <c r="F179">
        <v>20</v>
      </c>
      <c r="G179" t="str">
        <f>VLOOKUP(A179,[1]inrix_key!$A:$C,3,FALSE)</f>
        <v>Chinden_W</v>
      </c>
      <c r="H179">
        <f t="shared" si="2"/>
        <v>0.98605708868014807</v>
      </c>
    </row>
    <row r="180" spans="1:8" x14ac:dyDescent="0.25">
      <c r="A180">
        <v>1187579027</v>
      </c>
      <c r="B180" t="s">
        <v>7</v>
      </c>
      <c r="C180">
        <v>1.7085299422799301E-2</v>
      </c>
      <c r="D180">
        <v>1.4867875329859099</v>
      </c>
      <c r="E180">
        <v>0.17124033738335201</v>
      </c>
      <c r="F180">
        <v>10</v>
      </c>
      <c r="G180" t="str">
        <f>VLOOKUP(A180,[1]inrix_key!$A:$C,3,FALSE)</f>
        <v>Fairview_E</v>
      </c>
      <c r="H180">
        <f t="shared" si="2"/>
        <v>1.0251179653679581</v>
      </c>
    </row>
    <row r="181" spans="1:8" x14ac:dyDescent="0.25">
      <c r="A181">
        <v>1187577122</v>
      </c>
      <c r="B181" t="s">
        <v>7</v>
      </c>
      <c r="C181">
        <v>1.8551359180035601E-2</v>
      </c>
      <c r="D181">
        <v>0.67889597409923397</v>
      </c>
      <c r="E181">
        <v>0.51901185285797802</v>
      </c>
      <c r="F181">
        <v>8</v>
      </c>
      <c r="G181" t="str">
        <f>VLOOKUP(A181,[1]inrix_key!$A:$C,3,FALSE)</f>
        <v>Chinden_E</v>
      </c>
      <c r="H181">
        <f t="shared" si="2"/>
        <v>1.1130815508021361</v>
      </c>
    </row>
    <row r="182" spans="1:8" x14ac:dyDescent="0.25">
      <c r="A182">
        <v>1187466896</v>
      </c>
      <c r="B182" t="s">
        <v>8</v>
      </c>
      <c r="C182">
        <v>1.88011695906431E-2</v>
      </c>
      <c r="D182">
        <v>5.9771021329251504</v>
      </c>
      <c r="E182">
        <v>5.5480018731711596E-4</v>
      </c>
      <c r="F182">
        <v>8</v>
      </c>
      <c r="G182" t="str">
        <f>VLOOKUP(A182,[1]inrix_key!$A:$C,3,FALSE)</f>
        <v>IslandWood_S</v>
      </c>
      <c r="H182">
        <f t="shared" si="2"/>
        <v>1.128070175438586</v>
      </c>
    </row>
    <row r="183" spans="1:8" x14ac:dyDescent="0.25">
      <c r="A183">
        <v>484371307</v>
      </c>
      <c r="B183" t="s">
        <v>7</v>
      </c>
      <c r="C183">
        <v>2.0903540903540799E-2</v>
      </c>
      <c r="D183">
        <v>4.5561468348922096</v>
      </c>
      <c r="E183">
        <v>1.85929515760532E-3</v>
      </c>
      <c r="F183">
        <v>9</v>
      </c>
      <c r="G183" t="str">
        <f>VLOOKUP(A183,[1]inrix_key!$A:$C,3,FALSE)</f>
        <v>Pine_E</v>
      </c>
      <c r="H183">
        <f t="shared" si="2"/>
        <v>1.254212454212448</v>
      </c>
    </row>
    <row r="184" spans="1:8" x14ac:dyDescent="0.25">
      <c r="A184">
        <v>1187335042</v>
      </c>
      <c r="B184" t="s">
        <v>7</v>
      </c>
      <c r="C184">
        <v>2.2395588235294001E-2</v>
      </c>
      <c r="D184">
        <v>1.59506792033389</v>
      </c>
      <c r="E184">
        <v>0.145161391218423</v>
      </c>
      <c r="F184">
        <v>10</v>
      </c>
      <c r="G184" t="str">
        <f>VLOOKUP(A184,[1]inrix_key!$A:$C,3,FALSE)</f>
        <v>Ustick_N</v>
      </c>
      <c r="H184">
        <f t="shared" si="2"/>
        <v>1.3437352941176401</v>
      </c>
    </row>
    <row r="185" spans="1:8" x14ac:dyDescent="0.25">
      <c r="A185">
        <v>448695751</v>
      </c>
      <c r="B185" t="s">
        <v>7</v>
      </c>
      <c r="C185">
        <v>2.29312169312169E-2</v>
      </c>
      <c r="D185">
        <v>1.71601743735292</v>
      </c>
      <c r="E185">
        <v>0.12449519712512799</v>
      </c>
      <c r="F185">
        <v>9</v>
      </c>
      <c r="G185" t="str">
        <f>VLOOKUP(A185,[1]inrix_key!$A:$C,3,FALSE)</f>
        <v>Riverside_N</v>
      </c>
      <c r="H185">
        <f t="shared" si="2"/>
        <v>1.3758730158730139</v>
      </c>
    </row>
    <row r="186" spans="1:8" x14ac:dyDescent="0.25">
      <c r="A186">
        <v>117503882</v>
      </c>
      <c r="B186" t="s">
        <v>8</v>
      </c>
      <c r="C186">
        <v>2.52997076023391E-2</v>
      </c>
      <c r="D186">
        <v>2.0572056218396999</v>
      </c>
      <c r="E186">
        <v>7.8689006837820694E-2</v>
      </c>
      <c r="F186">
        <v>8</v>
      </c>
      <c r="G186" t="str">
        <f>VLOOKUP(A186,[1]inrix_key!$A:$C,3,FALSE)</f>
        <v>Franklin_E</v>
      </c>
      <c r="H186">
        <f t="shared" si="2"/>
        <v>1.5179824561403459</v>
      </c>
    </row>
    <row r="187" spans="1:8" x14ac:dyDescent="0.25">
      <c r="A187">
        <v>1187612015</v>
      </c>
      <c r="B187" t="s">
        <v>8</v>
      </c>
      <c r="C187">
        <v>2.6758040935672401E-2</v>
      </c>
      <c r="D187">
        <v>3.9608134548071501</v>
      </c>
      <c r="E187">
        <v>5.4559900967443503E-3</v>
      </c>
      <c r="F187">
        <v>8</v>
      </c>
      <c r="G187" t="str">
        <f>VLOOKUP(A187,[1]inrix_key!$A:$C,3,FALSE)</f>
        <v>Chinden_W</v>
      </c>
      <c r="H187">
        <f t="shared" si="2"/>
        <v>1.605482456140344</v>
      </c>
    </row>
    <row r="188" spans="1:8" x14ac:dyDescent="0.25">
      <c r="A188">
        <v>1187327938</v>
      </c>
      <c r="B188" t="s">
        <v>8</v>
      </c>
      <c r="C188">
        <v>2.8402777777777801E-2</v>
      </c>
      <c r="D188">
        <v>2.52929928706968</v>
      </c>
      <c r="E188">
        <v>3.9273135860562802E-2</v>
      </c>
      <c r="F188">
        <v>8</v>
      </c>
      <c r="G188" t="str">
        <f>VLOOKUP(A188,[1]inrix_key!$A:$C,3,FALSE)</f>
        <v>Franklin_W</v>
      </c>
      <c r="H188">
        <f t="shared" si="2"/>
        <v>1.7041666666666682</v>
      </c>
    </row>
    <row r="189" spans="1:8" x14ac:dyDescent="0.25">
      <c r="A189">
        <v>448697009</v>
      </c>
      <c r="B189" t="s">
        <v>8</v>
      </c>
      <c r="C189">
        <v>2.98830409356724E-2</v>
      </c>
      <c r="D189">
        <v>2.4490904919251602</v>
      </c>
      <c r="E189">
        <v>4.4166130710343997E-2</v>
      </c>
      <c r="F189">
        <v>8</v>
      </c>
      <c r="G189" t="str">
        <f>VLOOKUP(A189,[1]inrix_key!$A:$C,3,FALSE)</f>
        <v>Ustick_S</v>
      </c>
      <c r="H189">
        <f t="shared" si="2"/>
        <v>1.792982456140344</v>
      </c>
    </row>
    <row r="190" spans="1:8" x14ac:dyDescent="0.25">
      <c r="A190">
        <v>448694757</v>
      </c>
      <c r="B190" t="s">
        <v>9</v>
      </c>
      <c r="C190">
        <v>3.0709790016485002E-2</v>
      </c>
      <c r="D190">
        <v>1.2391440190187799</v>
      </c>
      <c r="E190">
        <v>0.23719827470980501</v>
      </c>
      <c r="F190">
        <v>14</v>
      </c>
      <c r="G190" t="str">
        <f>VLOOKUP(A190,[1]inrix_key!$A:$C,3,FALSE)</f>
        <v>Ustick_W</v>
      </c>
      <c r="H190">
        <f t="shared" si="2"/>
        <v>1.8425874009891001</v>
      </c>
    </row>
    <row r="191" spans="1:8" x14ac:dyDescent="0.25">
      <c r="A191">
        <v>448695754</v>
      </c>
      <c r="B191" t="s">
        <v>6</v>
      </c>
      <c r="C191">
        <v>3.1728070175438501E-2</v>
      </c>
      <c r="D191">
        <v>3.2925152639550901</v>
      </c>
      <c r="E191">
        <v>3.8293648280057001E-3</v>
      </c>
      <c r="F191">
        <v>20</v>
      </c>
      <c r="G191" t="str">
        <f>VLOOKUP(A191,[1]inrix_key!$A:$C,3,FALSE)</f>
        <v>State_S</v>
      </c>
      <c r="H191">
        <f t="shared" si="2"/>
        <v>1.9036842105263101</v>
      </c>
    </row>
    <row r="192" spans="1:8" x14ac:dyDescent="0.25">
      <c r="A192">
        <v>474871675</v>
      </c>
      <c r="B192" t="s">
        <v>7</v>
      </c>
      <c r="C192">
        <v>3.3055555555555498E-2</v>
      </c>
      <c r="D192">
        <v>1.36164162881384</v>
      </c>
      <c r="E192">
        <v>0.23145373512275599</v>
      </c>
      <c r="F192">
        <v>6</v>
      </c>
      <c r="G192" t="str">
        <f>VLOOKUP(A192,[1]inrix_key!$A:$C,3,FALSE)</f>
        <v>McMillan_E</v>
      </c>
      <c r="H192">
        <f t="shared" si="2"/>
        <v>1.9833333333333298</v>
      </c>
    </row>
    <row r="193" spans="1:8" x14ac:dyDescent="0.25">
      <c r="A193">
        <v>119241469</v>
      </c>
      <c r="B193" t="s">
        <v>9</v>
      </c>
      <c r="C193">
        <v>3.6380952380952299E-2</v>
      </c>
      <c r="D193">
        <v>22.470588235294699</v>
      </c>
      <c r="E193">
        <v>2.83125654237938E-2</v>
      </c>
      <c r="F193">
        <v>2</v>
      </c>
      <c r="G193" t="str">
        <f>VLOOKUP(A193,[1]inrix_key!$A:$C,3,FALSE)</f>
        <v>Colchester_W</v>
      </c>
      <c r="H193">
        <f t="shared" si="2"/>
        <v>2.1828571428571379</v>
      </c>
    </row>
    <row r="194" spans="1:8" x14ac:dyDescent="0.25">
      <c r="A194">
        <v>448725597</v>
      </c>
      <c r="B194" t="s">
        <v>7</v>
      </c>
      <c r="C194">
        <v>4.5370662670662601E-2</v>
      </c>
      <c r="D194">
        <v>1.31235199655315</v>
      </c>
      <c r="E194">
        <v>0.22188200880091</v>
      </c>
      <c r="F194">
        <v>10</v>
      </c>
      <c r="G194" t="str">
        <f>VLOOKUP(A194,[1]inrix_key!$A:$C,3,FALSE)</f>
        <v>Ustick_E</v>
      </c>
      <c r="H194">
        <f t="shared" ref="H194:H209" si="3">60*C194</f>
        <v>2.7222397602397561</v>
      </c>
    </row>
    <row r="195" spans="1:8" x14ac:dyDescent="0.25">
      <c r="A195">
        <v>1187327938</v>
      </c>
      <c r="B195" t="s">
        <v>9</v>
      </c>
      <c r="C195">
        <v>4.9279334500638601E-2</v>
      </c>
      <c r="D195">
        <v>1.4841205748072099</v>
      </c>
      <c r="E195">
        <v>0.15417779993351799</v>
      </c>
      <c r="F195">
        <v>20</v>
      </c>
      <c r="G195" t="str">
        <f>VLOOKUP(A195,[1]inrix_key!$A:$C,3,FALSE)</f>
        <v>Franklin_W</v>
      </c>
      <c r="H195">
        <f t="shared" si="3"/>
        <v>2.9567600700383161</v>
      </c>
    </row>
    <row r="196" spans="1:8" x14ac:dyDescent="0.25">
      <c r="A196">
        <v>1187466917</v>
      </c>
      <c r="B196" t="s">
        <v>8</v>
      </c>
      <c r="C196">
        <v>5.5361842105263098E-2</v>
      </c>
      <c r="D196">
        <v>19.847887565727401</v>
      </c>
      <c r="E196" s="1">
        <v>2.0605018168389201E-7</v>
      </c>
      <c r="F196">
        <v>8</v>
      </c>
      <c r="G196" t="str">
        <f>VLOOKUP(A196,[1]inrix_key!$A:$C,3,FALSE)</f>
        <v>Colchester_S</v>
      </c>
      <c r="H196">
        <f t="shared" si="3"/>
        <v>3.321710526315786</v>
      </c>
    </row>
    <row r="197" spans="1:8" x14ac:dyDescent="0.25">
      <c r="A197">
        <v>117503882</v>
      </c>
      <c r="B197" t="s">
        <v>7</v>
      </c>
      <c r="C197">
        <v>8.3223474442224402E-2</v>
      </c>
      <c r="D197">
        <v>4.4501052351159496</v>
      </c>
      <c r="E197">
        <v>2.9712640987594298E-3</v>
      </c>
      <c r="F197">
        <v>8</v>
      </c>
      <c r="G197" t="str">
        <f>VLOOKUP(A197,[1]inrix_key!$A:$C,3,FALSE)</f>
        <v>Franklin_E</v>
      </c>
      <c r="H197">
        <f t="shared" si="3"/>
        <v>4.9934084665334639</v>
      </c>
    </row>
    <row r="198" spans="1:8" x14ac:dyDescent="0.25">
      <c r="A198">
        <v>448695754</v>
      </c>
      <c r="B198" t="s">
        <v>8</v>
      </c>
      <c r="C198">
        <v>8.4206871345029202E-2</v>
      </c>
      <c r="D198">
        <v>21.162490812907201</v>
      </c>
      <c r="E198" s="1">
        <v>1.3238818215310701E-7</v>
      </c>
      <c r="F198">
        <v>8</v>
      </c>
      <c r="G198" t="str">
        <f>VLOOKUP(A198,[1]inrix_key!$A:$C,3,FALSE)</f>
        <v>State_S</v>
      </c>
      <c r="H198">
        <f t="shared" si="3"/>
        <v>5.052412280701752</v>
      </c>
    </row>
    <row r="199" spans="1:8" x14ac:dyDescent="0.25">
      <c r="A199">
        <v>1187612015</v>
      </c>
      <c r="B199" t="s">
        <v>6</v>
      </c>
      <c r="C199">
        <v>9.4842105263157797E-2</v>
      </c>
      <c r="D199">
        <v>2.6420609547859399</v>
      </c>
      <c r="E199">
        <v>1.6072247678235601E-2</v>
      </c>
      <c r="F199">
        <v>20</v>
      </c>
      <c r="G199" t="str">
        <f>VLOOKUP(A199,[1]inrix_key!$A:$C,3,FALSE)</f>
        <v>Chinden_W</v>
      </c>
      <c r="H199">
        <f t="shared" si="3"/>
        <v>5.6905263157894677</v>
      </c>
    </row>
    <row r="200" spans="1:8" x14ac:dyDescent="0.25">
      <c r="A200">
        <v>448695754</v>
      </c>
      <c r="B200" t="s">
        <v>7</v>
      </c>
      <c r="C200">
        <v>0.11599743018419401</v>
      </c>
      <c r="D200">
        <v>16.246042187879699</v>
      </c>
      <c r="E200" s="1">
        <v>5.6306112101522501E-8</v>
      </c>
      <c r="F200">
        <v>10</v>
      </c>
      <c r="G200" t="str">
        <f>VLOOKUP(A200,[1]inrix_key!$A:$C,3,FALSE)</f>
        <v>State_S</v>
      </c>
      <c r="H200">
        <f t="shared" si="3"/>
        <v>6.9598458110516406</v>
      </c>
    </row>
    <row r="201" spans="1:8" x14ac:dyDescent="0.25">
      <c r="A201">
        <v>448695754</v>
      </c>
      <c r="B201" t="s">
        <v>9</v>
      </c>
      <c r="C201">
        <v>0.143416434219375</v>
      </c>
      <c r="D201">
        <v>12.3937812798236</v>
      </c>
      <c r="E201" s="1">
        <v>1.4989355962122399E-10</v>
      </c>
      <c r="F201">
        <v>20</v>
      </c>
      <c r="G201" t="str">
        <f>VLOOKUP(A201,[1]inrix_key!$A:$C,3,FALSE)</f>
        <v>State_S</v>
      </c>
      <c r="H201">
        <f t="shared" si="3"/>
        <v>8.6049860531625004</v>
      </c>
    </row>
    <row r="202" spans="1:8" x14ac:dyDescent="0.25">
      <c r="A202">
        <v>1187335042</v>
      </c>
      <c r="B202" t="s">
        <v>8</v>
      </c>
      <c r="C202">
        <v>0.144861111111111</v>
      </c>
      <c r="D202">
        <v>7.19378968477195</v>
      </c>
      <c r="E202">
        <v>1.7841692366076201E-4</v>
      </c>
      <c r="F202">
        <v>8</v>
      </c>
      <c r="G202" t="str">
        <f>VLOOKUP(A202,[1]inrix_key!$A:$C,3,FALSE)</f>
        <v>Ustick_N</v>
      </c>
      <c r="H202">
        <f t="shared" si="3"/>
        <v>8.6916666666666593</v>
      </c>
    </row>
    <row r="203" spans="1:8" x14ac:dyDescent="0.25">
      <c r="A203">
        <v>474871675</v>
      </c>
      <c r="B203" t="s">
        <v>9</v>
      </c>
      <c r="C203">
        <v>0.14829709234121</v>
      </c>
      <c r="D203">
        <v>1.49844950201265</v>
      </c>
      <c r="E203">
        <v>0.162154361345381</v>
      </c>
      <c r="F203">
        <v>12</v>
      </c>
      <c r="G203" t="str">
        <f>VLOOKUP(A203,[1]inrix_key!$A:$C,3,FALSE)</f>
        <v>McMillan_E</v>
      </c>
      <c r="H203">
        <f t="shared" si="3"/>
        <v>8.8978255404725992</v>
      </c>
    </row>
    <row r="204" spans="1:8" x14ac:dyDescent="0.25">
      <c r="A204">
        <v>1187327938</v>
      </c>
      <c r="B204" t="s">
        <v>7</v>
      </c>
      <c r="C204">
        <v>0.15769240204240201</v>
      </c>
      <c r="D204">
        <v>3.8374687963900902</v>
      </c>
      <c r="E204">
        <v>3.9819244915498203E-3</v>
      </c>
      <c r="F204">
        <v>10</v>
      </c>
      <c r="G204" t="str">
        <f>VLOOKUP(A204,[1]inrix_key!$A:$C,3,FALSE)</f>
        <v>Franklin_W</v>
      </c>
      <c r="H204">
        <f t="shared" si="3"/>
        <v>9.4615441225441206</v>
      </c>
    </row>
    <row r="205" spans="1:8" x14ac:dyDescent="0.25">
      <c r="A205">
        <v>119269713</v>
      </c>
      <c r="B205" t="s">
        <v>7</v>
      </c>
      <c r="C205">
        <v>0.159999999999999</v>
      </c>
      <c r="D205">
        <v>4</v>
      </c>
      <c r="E205">
        <v>0.15595826075473801</v>
      </c>
      <c r="F205">
        <v>2</v>
      </c>
      <c r="G205" t="str">
        <f>VLOOKUP(A205,[1]inrix_key!$A:$C,3,FALSE)</f>
        <v>Colchester_E</v>
      </c>
      <c r="H205">
        <f t="shared" si="3"/>
        <v>9.599999999999941</v>
      </c>
    </row>
    <row r="206" spans="1:8" x14ac:dyDescent="0.25">
      <c r="A206">
        <v>119269713</v>
      </c>
      <c r="B206" t="s">
        <v>9</v>
      </c>
      <c r="C206">
        <v>0.174976851851851</v>
      </c>
      <c r="D206">
        <v>2.5020579558885299</v>
      </c>
      <c r="E206">
        <v>5.4353119495779999E-2</v>
      </c>
      <c r="F206">
        <v>6</v>
      </c>
      <c r="G206" t="str">
        <f>VLOOKUP(A206,[1]inrix_key!$A:$C,3,FALSE)</f>
        <v>Colchester_E</v>
      </c>
      <c r="H206">
        <f t="shared" si="3"/>
        <v>10.49861111111106</v>
      </c>
    </row>
    <row r="207" spans="1:8" x14ac:dyDescent="0.25">
      <c r="A207">
        <v>1187577122</v>
      </c>
      <c r="B207" t="s">
        <v>8</v>
      </c>
      <c r="C207">
        <v>0.18453947368421</v>
      </c>
      <c r="D207">
        <v>9.4375923205979504</v>
      </c>
      <c r="E207" s="1">
        <v>3.1292930978693501E-5</v>
      </c>
      <c r="F207">
        <v>8</v>
      </c>
      <c r="G207" t="str">
        <f>VLOOKUP(A207,[1]inrix_key!$A:$C,3,FALSE)</f>
        <v>Chinden_E</v>
      </c>
      <c r="H207">
        <f t="shared" si="3"/>
        <v>11.0723684210526</v>
      </c>
    </row>
    <row r="208" spans="1:8" x14ac:dyDescent="0.25">
      <c r="A208">
        <v>384139881</v>
      </c>
      <c r="B208" t="s">
        <v>7</v>
      </c>
      <c r="C208">
        <v>0.196622679789346</v>
      </c>
      <c r="D208">
        <v>2.3967792984209799</v>
      </c>
      <c r="E208">
        <v>4.3394285181933001E-2</v>
      </c>
      <c r="F208">
        <v>9</v>
      </c>
      <c r="G208" t="str">
        <f>VLOOKUP(A208,[1]inrix_key!$A:$C,3,FALSE)</f>
        <v>Pine_W</v>
      </c>
      <c r="H208">
        <f t="shared" si="3"/>
        <v>11.797360787360759</v>
      </c>
    </row>
    <row r="209" spans="1:8" x14ac:dyDescent="0.25">
      <c r="A209">
        <v>119241469</v>
      </c>
      <c r="B209" t="s">
        <v>7</v>
      </c>
      <c r="C209">
        <v>0.249999999999999</v>
      </c>
      <c r="F209">
        <v>1</v>
      </c>
      <c r="G209" t="str">
        <f>VLOOKUP(A209,[1]inrix_key!$A:$C,3,FALSE)</f>
        <v>Colchester_W</v>
      </c>
      <c r="H209">
        <f t="shared" si="3"/>
        <v>14.99999999999994</v>
      </c>
    </row>
    <row r="217" spans="1:8" x14ac:dyDescent="0.25">
      <c r="E217" s="1"/>
    </row>
    <row r="218" spans="1:8" x14ac:dyDescent="0.25">
      <c r="E218" s="1"/>
    </row>
    <row r="220" spans="1:8" x14ac:dyDescent="0.25">
      <c r="E220" s="1"/>
    </row>
    <row r="224" spans="1:8" x14ac:dyDescent="0.25">
      <c r="E224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42" spans="5:5" x14ac:dyDescent="0.25">
      <c r="E242" s="1"/>
    </row>
    <row r="244" spans="5:5" x14ac:dyDescent="0.25">
      <c r="E244" s="1"/>
    </row>
    <row r="245" spans="5:5" x14ac:dyDescent="0.25">
      <c r="E245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5" spans="5:5" x14ac:dyDescent="0.25">
      <c r="E255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83" spans="5:5" x14ac:dyDescent="0.25">
      <c r="E283" s="1"/>
    </row>
    <row r="289" spans="5:5" x14ac:dyDescent="0.25">
      <c r="E289" s="1"/>
    </row>
    <row r="292" spans="5:5" x14ac:dyDescent="0.25">
      <c r="E292" s="1"/>
    </row>
    <row r="293" spans="5:5" x14ac:dyDescent="0.25">
      <c r="E293" s="1"/>
    </row>
    <row r="295" spans="5:5" x14ac:dyDescent="0.25">
      <c r="E295" s="1"/>
    </row>
    <row r="297" spans="5:5" x14ac:dyDescent="0.25">
      <c r="E297" s="1"/>
    </row>
    <row r="299" spans="5:5" x14ac:dyDescent="0.25">
      <c r="E299" s="1"/>
    </row>
    <row r="305" spans="5:5" x14ac:dyDescent="0.25">
      <c r="E305" s="1"/>
    </row>
    <row r="306" spans="5:5" x14ac:dyDescent="0.25">
      <c r="E306" s="1"/>
    </row>
    <row r="309" spans="5:5" x14ac:dyDescent="0.25">
      <c r="E309" s="1"/>
    </row>
    <row r="321" spans="3:3" x14ac:dyDescent="0.25">
      <c r="C321" s="1"/>
    </row>
    <row r="340" spans="5:5" x14ac:dyDescent="0.25">
      <c r="E340" s="1"/>
    </row>
    <row r="342" spans="5:5" x14ac:dyDescent="0.25">
      <c r="E342" s="1"/>
    </row>
    <row r="345" spans="5:5" x14ac:dyDescent="0.25">
      <c r="E345" s="1"/>
    </row>
    <row r="349" spans="5:5" x14ac:dyDescent="0.25">
      <c r="E349" s="1"/>
    </row>
    <row r="352" spans="5:5" x14ac:dyDescent="0.25">
      <c r="E352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8" spans="5:5" x14ac:dyDescent="0.25">
      <c r="E358" s="1"/>
    </row>
    <row r="359" spans="5:5" x14ac:dyDescent="0.25">
      <c r="E359" s="1"/>
    </row>
    <row r="366" spans="5:5" x14ac:dyDescent="0.25">
      <c r="E366" s="1"/>
    </row>
    <row r="369" spans="5:5" x14ac:dyDescent="0.25">
      <c r="E369" s="1"/>
    </row>
    <row r="372" spans="5:5" x14ac:dyDescent="0.25">
      <c r="E372" s="1"/>
    </row>
    <row r="391" spans="5:5" x14ac:dyDescent="0.25">
      <c r="E391" s="1"/>
    </row>
    <row r="465" spans="5:5" x14ac:dyDescent="0.25">
      <c r="E465" s="1"/>
    </row>
    <row r="467" spans="5:5" x14ac:dyDescent="0.25">
      <c r="E467" s="1"/>
    </row>
    <row r="471" spans="5:5" x14ac:dyDescent="0.25">
      <c r="E471" s="1"/>
    </row>
    <row r="473" spans="5:5" x14ac:dyDescent="0.25">
      <c r="E473" s="1"/>
    </row>
    <row r="477" spans="5:5" x14ac:dyDescent="0.25">
      <c r="E477" s="1"/>
    </row>
    <row r="479" spans="5:5" x14ac:dyDescent="0.25">
      <c r="E479" s="1"/>
    </row>
    <row r="507" spans="5:5" x14ac:dyDescent="0.25">
      <c r="E507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</sheetData>
  <autoFilter ref="A1:H516" xr:uid="{B27B17E0-0906-4478-9A63-5AC0171B6035}">
    <sortState xmlns:xlrd2="http://schemas.microsoft.com/office/spreadsheetml/2017/richdata2" ref="A2:H516">
      <sortCondition ref="H1:H51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C8860-0540-4CEC-BC95-74265E1438F7}">
  <dimension ref="A1:K470"/>
  <sheetViews>
    <sheetView workbookViewId="0">
      <selection activeCell="L9" sqref="L9"/>
    </sheetView>
  </sheetViews>
  <sheetFormatPr defaultRowHeight="15" x14ac:dyDescent="0.25"/>
  <cols>
    <col min="2" max="2" width="26" bestFit="1" customWidth="1"/>
    <col min="7" max="7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12</v>
      </c>
    </row>
    <row r="2" spans="1:11" x14ac:dyDescent="0.25">
      <c r="A2">
        <v>1187333665</v>
      </c>
      <c r="B2" t="s">
        <v>6</v>
      </c>
      <c r="C2">
        <v>-0.177976923076923</v>
      </c>
      <c r="D2">
        <v>-7.9395726460167602</v>
      </c>
      <c r="E2" s="1">
        <v>1.87538572023308E-7</v>
      </c>
      <c r="F2">
        <v>20</v>
      </c>
      <c r="G2" t="str">
        <f>VLOOKUP(A2,[1]inrix_key!$A:$C,3,FALSE)</f>
        <v>Chinden_N</v>
      </c>
      <c r="H2">
        <f t="shared" ref="H2:H65" si="0">60*C2</f>
        <v>-10.67861538461538</v>
      </c>
      <c r="J2" t="s">
        <v>13</v>
      </c>
      <c r="K2">
        <f>AVERAGEIF(G:G,"*_N*",H:H)</f>
        <v>0.16963884236984983</v>
      </c>
    </row>
    <row r="3" spans="1:11" x14ac:dyDescent="0.25">
      <c r="A3">
        <v>1187612015</v>
      </c>
      <c r="B3" t="s">
        <v>7</v>
      </c>
      <c r="C3">
        <v>-0.17465367965367901</v>
      </c>
      <c r="D3">
        <v>-6.4081595085118703</v>
      </c>
      <c r="E3">
        <v>1.2407769169564501E-4</v>
      </c>
      <c r="F3">
        <v>10</v>
      </c>
      <c r="G3" t="str">
        <f>VLOOKUP(A3,[1]inrix_key!$A:$C,3,FALSE)</f>
        <v>Chinden_W</v>
      </c>
      <c r="H3">
        <f t="shared" si="0"/>
        <v>-10.479220779220741</v>
      </c>
      <c r="J3" t="s">
        <v>14</v>
      </c>
      <c r="K3">
        <f>AVERAGEIF(G:G,"*_S*",H:H)</f>
        <v>0.25616331990832808</v>
      </c>
    </row>
    <row r="4" spans="1:11" x14ac:dyDescent="0.25">
      <c r="A4">
        <v>448697008</v>
      </c>
      <c r="B4" t="s">
        <v>6</v>
      </c>
      <c r="C4">
        <v>-0.100986538461538</v>
      </c>
      <c r="D4">
        <v>-7.4884649627556596</v>
      </c>
      <c r="E4" s="1">
        <v>4.4083996999192102E-7</v>
      </c>
      <c r="F4">
        <v>20</v>
      </c>
      <c r="G4" t="str">
        <f>VLOOKUP(A4,[1]inrix_key!$A:$C,3,FALSE)</f>
        <v>RiverValley_S</v>
      </c>
      <c r="H4">
        <f t="shared" si="0"/>
        <v>-6.05919230769228</v>
      </c>
      <c r="J4" t="s">
        <v>15</v>
      </c>
      <c r="K4">
        <f>AVERAGEIF(G:G,"*_W*",H:H)</f>
        <v>0.52262793169871602</v>
      </c>
    </row>
    <row r="5" spans="1:11" x14ac:dyDescent="0.25">
      <c r="A5">
        <v>1187333665</v>
      </c>
      <c r="B5" t="s">
        <v>8</v>
      </c>
      <c r="C5">
        <v>-9.93413461538461E-2</v>
      </c>
      <c r="D5">
        <v>-4.0100904572933196</v>
      </c>
      <c r="E5">
        <v>5.1237177978187103E-3</v>
      </c>
      <c r="F5">
        <v>8</v>
      </c>
      <c r="G5" t="str">
        <f>VLOOKUP(A5,[1]inrix_key!$A:$C,3,FALSE)</f>
        <v>Chinden_N</v>
      </c>
      <c r="H5">
        <f t="shared" si="0"/>
        <v>-5.9604807692307658</v>
      </c>
      <c r="J5" t="s">
        <v>16</v>
      </c>
      <c r="K5">
        <f>AVERAGEIF(G:G,"*_E*",H:H)</f>
        <v>-0.37677373064999092</v>
      </c>
    </row>
    <row r="6" spans="1:11" x14ac:dyDescent="0.25">
      <c r="A6">
        <v>1187612015</v>
      </c>
      <c r="B6" t="s">
        <v>9</v>
      </c>
      <c r="C6">
        <v>-9.5090001196773605E-2</v>
      </c>
      <c r="D6">
        <v>-2.0218948595420101</v>
      </c>
      <c r="E6">
        <v>5.7498428110545001E-2</v>
      </c>
      <c r="F6">
        <v>20</v>
      </c>
      <c r="G6" t="str">
        <f>VLOOKUP(A6,[1]inrix_key!$A:$C,3,FALSE)</f>
        <v>Chinden_W</v>
      </c>
      <c r="H6">
        <f t="shared" si="0"/>
        <v>-5.705400071806416</v>
      </c>
    </row>
    <row r="7" spans="1:11" x14ac:dyDescent="0.25">
      <c r="A7">
        <v>1187586311</v>
      </c>
      <c r="B7" t="s">
        <v>8</v>
      </c>
      <c r="C7">
        <v>-7.3817307692307696E-2</v>
      </c>
      <c r="D7">
        <v>-2.2019663738303201</v>
      </c>
      <c r="E7">
        <v>6.3546302108278996E-2</v>
      </c>
      <c r="F7">
        <v>8</v>
      </c>
      <c r="G7" t="str">
        <f>VLOOKUP(A7,[1]inrix_key!$A:$C,3,FALSE)</f>
        <v>EB_W</v>
      </c>
      <c r="H7">
        <f t="shared" si="0"/>
        <v>-4.4290384615384619</v>
      </c>
    </row>
    <row r="8" spans="1:11" x14ac:dyDescent="0.25">
      <c r="A8">
        <v>448694757</v>
      </c>
      <c r="B8" t="s">
        <v>7</v>
      </c>
      <c r="C8">
        <v>-6.9657967032967005E-2</v>
      </c>
      <c r="D8">
        <v>-2.71223151010533</v>
      </c>
      <c r="E8">
        <v>2.3909978491619299E-2</v>
      </c>
      <c r="F8">
        <v>10</v>
      </c>
      <c r="G8" t="str">
        <f>VLOOKUP(A8,[1]inrix_key!$A:$C,3,FALSE)</f>
        <v>Ustick_W</v>
      </c>
      <c r="H8">
        <f t="shared" si="0"/>
        <v>-4.1794780219780208</v>
      </c>
    </row>
    <row r="9" spans="1:11" x14ac:dyDescent="0.25">
      <c r="A9">
        <v>119269713</v>
      </c>
      <c r="B9" t="s">
        <v>9</v>
      </c>
      <c r="C9">
        <v>-6.8902757736091003E-2</v>
      </c>
      <c r="D9">
        <v>-1.8206556494517701</v>
      </c>
      <c r="E9">
        <v>0.106145479500247</v>
      </c>
      <c r="F9">
        <v>9</v>
      </c>
      <c r="G9" t="str">
        <f>VLOOKUP(A9,[1]inrix_key!$A:$C,3,FALSE)</f>
        <v>Colchester_E</v>
      </c>
      <c r="H9">
        <f t="shared" si="0"/>
        <v>-4.1341654641654602</v>
      </c>
    </row>
    <row r="10" spans="1:11" x14ac:dyDescent="0.25">
      <c r="A10">
        <v>448694757</v>
      </c>
      <c r="B10" t="s">
        <v>6</v>
      </c>
      <c r="C10">
        <v>-6.5134615384615402E-2</v>
      </c>
      <c r="D10">
        <v>-5.1863208677287798</v>
      </c>
      <c r="E10" s="1">
        <v>5.25264764306886E-5</v>
      </c>
      <c r="F10">
        <v>20</v>
      </c>
      <c r="G10" t="str">
        <f>VLOOKUP(A10,[1]inrix_key!$A:$C,3,FALSE)</f>
        <v>Ustick_W</v>
      </c>
      <c r="H10">
        <f t="shared" si="0"/>
        <v>-3.9080769230769241</v>
      </c>
    </row>
    <row r="11" spans="1:11" x14ac:dyDescent="0.25">
      <c r="A11">
        <v>1187333665</v>
      </c>
      <c r="B11" t="s">
        <v>9</v>
      </c>
      <c r="C11">
        <v>-6.3169391281233306E-2</v>
      </c>
      <c r="D11">
        <v>-1.85666403570103</v>
      </c>
      <c r="E11">
        <v>7.8933310487152603E-2</v>
      </c>
      <c r="F11">
        <v>20</v>
      </c>
      <c r="G11" t="str">
        <f>VLOOKUP(A11,[1]inrix_key!$A:$C,3,FALSE)</f>
        <v>Chinden_N</v>
      </c>
      <c r="H11">
        <f t="shared" si="0"/>
        <v>-3.7901634768739982</v>
      </c>
    </row>
    <row r="12" spans="1:11" x14ac:dyDescent="0.25">
      <c r="A12">
        <v>1187654588</v>
      </c>
      <c r="B12" t="s">
        <v>6</v>
      </c>
      <c r="C12">
        <v>-5.6867307692307599E-2</v>
      </c>
      <c r="D12">
        <v>-3.5975980698141301</v>
      </c>
      <c r="E12">
        <v>1.91890447193915E-3</v>
      </c>
      <c r="F12">
        <v>20</v>
      </c>
      <c r="G12" t="str">
        <f>VLOOKUP(A12,[1]inrix_key!$A:$C,3,FALSE)</f>
        <v>Franklin_N</v>
      </c>
      <c r="H12">
        <f t="shared" si="0"/>
        <v>-3.4120384615384558</v>
      </c>
    </row>
    <row r="13" spans="1:11" x14ac:dyDescent="0.25">
      <c r="A13">
        <v>474871675</v>
      </c>
      <c r="B13" t="s">
        <v>7</v>
      </c>
      <c r="C13">
        <v>-5.3611111111111102E-2</v>
      </c>
      <c r="D13">
        <v>-3.0853354207977999</v>
      </c>
      <c r="E13">
        <v>9.0946504072435999E-2</v>
      </c>
      <c r="F13">
        <v>3</v>
      </c>
      <c r="G13" t="str">
        <f>VLOOKUP(A13,[1]inrix_key!$A:$C,3,FALSE)</f>
        <v>McMillan_E</v>
      </c>
      <c r="H13">
        <f t="shared" si="0"/>
        <v>-3.2166666666666663</v>
      </c>
    </row>
    <row r="14" spans="1:11" x14ac:dyDescent="0.25">
      <c r="A14">
        <v>1187654588</v>
      </c>
      <c r="B14" t="s">
        <v>9</v>
      </c>
      <c r="C14">
        <v>-5.2492951785057002E-2</v>
      </c>
      <c r="D14">
        <v>-2.0993724835259102</v>
      </c>
      <c r="E14">
        <v>4.9375720732134601E-2</v>
      </c>
      <c r="F14">
        <v>20</v>
      </c>
      <c r="G14" t="str">
        <f>VLOOKUP(A14,[1]inrix_key!$A:$C,3,FALSE)</f>
        <v>Franklin_N</v>
      </c>
      <c r="H14">
        <f t="shared" si="0"/>
        <v>-3.1495771071034202</v>
      </c>
    </row>
    <row r="15" spans="1:11" x14ac:dyDescent="0.25">
      <c r="A15">
        <v>1187577122</v>
      </c>
      <c r="B15" t="s">
        <v>7</v>
      </c>
      <c r="C15">
        <v>-5.2489352559205497E-2</v>
      </c>
      <c r="D15">
        <v>-3.5189830577299102</v>
      </c>
      <c r="E15">
        <v>6.5258574743854297E-3</v>
      </c>
      <c r="F15">
        <v>10</v>
      </c>
      <c r="G15" t="str">
        <f>VLOOKUP(A15,[1]inrix_key!$A:$C,3,FALSE)</f>
        <v>Chinden_E</v>
      </c>
      <c r="H15">
        <f t="shared" si="0"/>
        <v>-3.1493611535523298</v>
      </c>
    </row>
    <row r="16" spans="1:11" x14ac:dyDescent="0.25">
      <c r="A16">
        <v>1187654588</v>
      </c>
      <c r="B16" t="s">
        <v>8</v>
      </c>
      <c r="C16">
        <v>-4.50817307692307E-2</v>
      </c>
      <c r="D16">
        <v>-2.46923569856289</v>
      </c>
      <c r="E16">
        <v>4.2880979116314402E-2</v>
      </c>
      <c r="F16">
        <v>8</v>
      </c>
      <c r="G16" t="str">
        <f>VLOOKUP(A16,[1]inrix_key!$A:$C,3,FALSE)</f>
        <v>Franklin_N</v>
      </c>
      <c r="H16">
        <f t="shared" si="0"/>
        <v>-2.7049038461538419</v>
      </c>
    </row>
    <row r="17" spans="1:8" x14ac:dyDescent="0.25">
      <c r="A17">
        <v>1187586311</v>
      </c>
      <c r="B17" t="s">
        <v>9</v>
      </c>
      <c r="C17">
        <v>-4.48408201447675E-2</v>
      </c>
      <c r="D17">
        <v>-2.4892234404106999</v>
      </c>
      <c r="E17">
        <v>2.2239605131379601E-2</v>
      </c>
      <c r="F17">
        <v>20</v>
      </c>
      <c r="G17" t="str">
        <f>VLOOKUP(A17,[1]inrix_key!$A:$C,3,FALSE)</f>
        <v>EB_W</v>
      </c>
      <c r="H17">
        <f t="shared" si="0"/>
        <v>-2.6904492086860499</v>
      </c>
    </row>
    <row r="18" spans="1:8" x14ac:dyDescent="0.25">
      <c r="A18">
        <v>1187335042</v>
      </c>
      <c r="B18" t="s">
        <v>9</v>
      </c>
      <c r="C18">
        <v>-4.3168842999106102E-2</v>
      </c>
      <c r="D18">
        <v>-1.9657423293757701</v>
      </c>
      <c r="E18">
        <v>6.41153911658425E-2</v>
      </c>
      <c r="F18">
        <v>20</v>
      </c>
      <c r="G18" t="str">
        <f>VLOOKUP(A18,[1]inrix_key!$A:$C,3,FALSE)</f>
        <v>Ustick_N</v>
      </c>
      <c r="H18">
        <f t="shared" si="0"/>
        <v>-2.5901305799463663</v>
      </c>
    </row>
    <row r="19" spans="1:8" x14ac:dyDescent="0.25">
      <c r="A19">
        <v>448725599</v>
      </c>
      <c r="B19" t="s">
        <v>7</v>
      </c>
      <c r="C19">
        <v>-4.0587801293993198E-2</v>
      </c>
      <c r="D19">
        <v>-6.7447330635326201</v>
      </c>
      <c r="E19" s="1">
        <v>8.4149631827034401E-5</v>
      </c>
      <c r="F19">
        <v>10</v>
      </c>
      <c r="G19" t="str">
        <f>VLOOKUP(A19,[1]inrix_key!$A:$C,3,FALSE)</f>
        <v>Chinden_S</v>
      </c>
      <c r="H19">
        <f t="shared" si="0"/>
        <v>-2.4352680776395919</v>
      </c>
    </row>
    <row r="20" spans="1:8" x14ac:dyDescent="0.25">
      <c r="A20">
        <v>1187579027</v>
      </c>
      <c r="B20" t="s">
        <v>7</v>
      </c>
      <c r="C20">
        <v>-3.8753449001978399E-2</v>
      </c>
      <c r="D20">
        <v>-3.4960167247931002</v>
      </c>
      <c r="E20">
        <v>6.7657811139519401E-3</v>
      </c>
      <c r="F20">
        <v>10</v>
      </c>
      <c r="G20" t="str">
        <f>VLOOKUP(A20,[1]inrix_key!$A:$C,3,FALSE)</f>
        <v>Fairview_E</v>
      </c>
      <c r="H20">
        <f t="shared" si="0"/>
        <v>-2.3252069401187039</v>
      </c>
    </row>
    <row r="21" spans="1:8" x14ac:dyDescent="0.25">
      <c r="A21">
        <v>448725597</v>
      </c>
      <c r="B21" t="s">
        <v>7</v>
      </c>
      <c r="C21">
        <v>-3.8065873015872997E-2</v>
      </c>
      <c r="D21">
        <v>-1.35882171955485</v>
      </c>
      <c r="E21">
        <v>0.207278354446123</v>
      </c>
      <c r="F21">
        <v>10</v>
      </c>
      <c r="G21" t="str">
        <f>VLOOKUP(A21,[1]inrix_key!$A:$C,3,FALSE)</f>
        <v>Ustick_E</v>
      </c>
      <c r="H21">
        <f t="shared" si="0"/>
        <v>-2.2839523809523801</v>
      </c>
    </row>
    <row r="22" spans="1:8" x14ac:dyDescent="0.25">
      <c r="A22">
        <v>1187586311</v>
      </c>
      <c r="B22" t="s">
        <v>7</v>
      </c>
      <c r="C22">
        <v>-3.5924142524142402E-2</v>
      </c>
      <c r="D22">
        <v>-2.77850110069858</v>
      </c>
      <c r="E22">
        <v>2.1453267957348501E-2</v>
      </c>
      <c r="F22">
        <v>10</v>
      </c>
      <c r="G22" t="str">
        <f>VLOOKUP(A22,[1]inrix_key!$A:$C,3,FALSE)</f>
        <v>EB_W</v>
      </c>
      <c r="H22">
        <f t="shared" si="0"/>
        <v>-2.155448551448544</v>
      </c>
    </row>
    <row r="23" spans="1:8" x14ac:dyDescent="0.25">
      <c r="A23">
        <v>448697006</v>
      </c>
      <c r="B23" t="s">
        <v>8</v>
      </c>
      <c r="C23">
        <v>-3.4966346153846098E-2</v>
      </c>
      <c r="D23">
        <v>-2.1063517240825198</v>
      </c>
      <c r="E23">
        <v>7.3181603605230294E-2</v>
      </c>
      <c r="F23">
        <v>8</v>
      </c>
      <c r="G23" t="str">
        <f>VLOOKUP(A23,[1]inrix_key!$A:$C,3,FALSE)</f>
        <v>StLukes_N</v>
      </c>
      <c r="H23">
        <f t="shared" si="0"/>
        <v>-2.0979807692307659</v>
      </c>
    </row>
    <row r="24" spans="1:8" x14ac:dyDescent="0.25">
      <c r="A24">
        <v>448725596</v>
      </c>
      <c r="B24" t="s">
        <v>6</v>
      </c>
      <c r="C24">
        <v>-3.4769230769230698E-2</v>
      </c>
      <c r="D24">
        <v>-4.5220323962802498</v>
      </c>
      <c r="E24">
        <v>2.33230714457506E-4</v>
      </c>
      <c r="F24">
        <v>20</v>
      </c>
      <c r="G24" t="str">
        <f>VLOOKUP(A24,[1]inrix_key!$A:$C,3,FALSE)</f>
        <v>Franklin_S</v>
      </c>
      <c r="H24">
        <f t="shared" si="0"/>
        <v>-2.086153846153842</v>
      </c>
    </row>
    <row r="25" spans="1:8" x14ac:dyDescent="0.25">
      <c r="A25">
        <v>448725599</v>
      </c>
      <c r="B25" t="s">
        <v>9</v>
      </c>
      <c r="C25">
        <v>-3.4730025770582998E-2</v>
      </c>
      <c r="D25">
        <v>-4.4565699268733603</v>
      </c>
      <c r="E25">
        <v>2.7059215444405097E-4</v>
      </c>
      <c r="F25">
        <v>20</v>
      </c>
      <c r="G25" t="str">
        <f>VLOOKUP(A25,[1]inrix_key!$A:$C,3,FALSE)</f>
        <v>Chinden_S</v>
      </c>
      <c r="H25">
        <f t="shared" si="0"/>
        <v>-2.0838015462349797</v>
      </c>
    </row>
    <row r="26" spans="1:8" x14ac:dyDescent="0.25">
      <c r="A26">
        <v>448697008</v>
      </c>
      <c r="B26" t="s">
        <v>8</v>
      </c>
      <c r="C26">
        <v>-3.3788461538461503E-2</v>
      </c>
      <c r="D26">
        <v>-0.76818748415721305</v>
      </c>
      <c r="E26">
        <v>0.46749443338600999</v>
      </c>
      <c r="F26">
        <v>8</v>
      </c>
      <c r="G26" t="str">
        <f>VLOOKUP(A26,[1]inrix_key!$A:$C,3,FALSE)</f>
        <v>RiverValley_S</v>
      </c>
      <c r="H26">
        <f t="shared" si="0"/>
        <v>-2.0273076923076903</v>
      </c>
    </row>
    <row r="27" spans="1:8" x14ac:dyDescent="0.25">
      <c r="A27">
        <v>448725595</v>
      </c>
      <c r="B27" t="s">
        <v>6</v>
      </c>
      <c r="C27">
        <v>-3.3375000000000002E-2</v>
      </c>
      <c r="D27">
        <v>-6.0082788263740996</v>
      </c>
      <c r="E27" s="1">
        <v>8.8228521877891392E-6</v>
      </c>
      <c r="F27">
        <v>20</v>
      </c>
      <c r="G27" t="str">
        <f>VLOOKUP(A27,[1]inrix_key!$A:$C,3,FALSE)</f>
        <v>StLukes_S</v>
      </c>
      <c r="H27">
        <f t="shared" si="0"/>
        <v>-2.0024999999999999</v>
      </c>
    </row>
    <row r="28" spans="1:8" x14ac:dyDescent="0.25">
      <c r="A28">
        <v>448725597</v>
      </c>
      <c r="B28" t="s">
        <v>8</v>
      </c>
      <c r="C28">
        <v>-3.2350961538461502E-2</v>
      </c>
      <c r="D28">
        <v>-2.0851281948136502</v>
      </c>
      <c r="E28">
        <v>7.5511239633801699E-2</v>
      </c>
      <c r="F28">
        <v>8</v>
      </c>
      <c r="G28" t="str">
        <f>VLOOKUP(A28,[1]inrix_key!$A:$C,3,FALSE)</f>
        <v>Ustick_E</v>
      </c>
      <c r="H28">
        <f t="shared" si="0"/>
        <v>-1.9410576923076901</v>
      </c>
    </row>
    <row r="29" spans="1:8" x14ac:dyDescent="0.25">
      <c r="A29">
        <v>448725597</v>
      </c>
      <c r="B29" t="s">
        <v>6</v>
      </c>
      <c r="C29">
        <v>-3.2282692307692297E-2</v>
      </c>
      <c r="D29">
        <v>-4.5352024767586796</v>
      </c>
      <c r="E29">
        <v>2.2636829099302201E-4</v>
      </c>
      <c r="F29">
        <v>20</v>
      </c>
      <c r="G29" t="str">
        <f>VLOOKUP(A29,[1]inrix_key!$A:$C,3,FALSE)</f>
        <v>Ustick_E</v>
      </c>
      <c r="H29">
        <f t="shared" si="0"/>
        <v>-1.9369615384615377</v>
      </c>
    </row>
    <row r="30" spans="1:8" x14ac:dyDescent="0.25">
      <c r="A30">
        <v>119501618</v>
      </c>
      <c r="B30" t="s">
        <v>7</v>
      </c>
      <c r="C30">
        <v>-3.11650858944976E-2</v>
      </c>
      <c r="D30">
        <v>-3.0223574802429201</v>
      </c>
      <c r="E30">
        <v>1.44241240566391E-2</v>
      </c>
      <c r="F30">
        <v>10</v>
      </c>
      <c r="G30" t="str">
        <f>VLOOKUP(A30,[1]inrix_key!$A:$C,3,FALSE)</f>
        <v>McMillan_N</v>
      </c>
      <c r="H30">
        <f t="shared" si="0"/>
        <v>-1.8699051536698559</v>
      </c>
    </row>
    <row r="31" spans="1:8" x14ac:dyDescent="0.25">
      <c r="A31">
        <v>448697007</v>
      </c>
      <c r="B31" t="s">
        <v>6</v>
      </c>
      <c r="C31">
        <v>-3.02442307692307E-2</v>
      </c>
      <c r="D31">
        <v>-5.3070428202925797</v>
      </c>
      <c r="E31" s="1">
        <v>4.0229486324538397E-5</v>
      </c>
      <c r="F31">
        <v>20</v>
      </c>
      <c r="G31" t="str">
        <f>VLOOKUP(A31,[1]inrix_key!$A:$C,3,FALSE)</f>
        <v>WB_N</v>
      </c>
      <c r="H31">
        <f t="shared" si="0"/>
        <v>-1.814653846153842</v>
      </c>
    </row>
    <row r="32" spans="1:8" x14ac:dyDescent="0.25">
      <c r="A32">
        <v>1187532837</v>
      </c>
      <c r="B32" t="s">
        <v>7</v>
      </c>
      <c r="C32">
        <v>-2.9904800265094299E-2</v>
      </c>
      <c r="D32">
        <v>-4.8654435604466197</v>
      </c>
      <c r="E32">
        <v>8.8910575869903996E-4</v>
      </c>
      <c r="F32">
        <v>10</v>
      </c>
      <c r="G32" t="str">
        <f>VLOOKUP(A32,[1]inrix_key!$A:$C,3,FALSE)</f>
        <v>HobbleCreek_N</v>
      </c>
      <c r="H32">
        <f t="shared" si="0"/>
        <v>-1.794288015905658</v>
      </c>
    </row>
    <row r="33" spans="1:8" x14ac:dyDescent="0.25">
      <c r="A33">
        <v>1187549053</v>
      </c>
      <c r="B33" t="s">
        <v>7</v>
      </c>
      <c r="C33">
        <v>-2.9313402919749602E-2</v>
      </c>
      <c r="D33">
        <v>-8.5422171916115399</v>
      </c>
      <c r="E33" s="1">
        <v>1.30595791676859E-5</v>
      </c>
      <c r="F33">
        <v>10</v>
      </c>
      <c r="G33" t="str">
        <f>VLOOKUP(A33,[1]inrix_key!$A:$C,3,FALSE)</f>
        <v>HobbleCreek_S</v>
      </c>
      <c r="H33">
        <f t="shared" si="0"/>
        <v>-1.7588041751849761</v>
      </c>
    </row>
    <row r="34" spans="1:8" x14ac:dyDescent="0.25">
      <c r="A34">
        <v>1187333605</v>
      </c>
      <c r="B34" t="s">
        <v>6</v>
      </c>
      <c r="C34">
        <v>-2.85653846153846E-2</v>
      </c>
      <c r="D34">
        <v>-1.6587338191365499</v>
      </c>
      <c r="E34">
        <v>0.11358672339261</v>
      </c>
      <c r="F34">
        <v>20</v>
      </c>
      <c r="G34" t="str">
        <f>VLOOKUP(A34,[1]inrix_key!$A:$C,3,FALSE)</f>
        <v>Colchester_N</v>
      </c>
      <c r="H34">
        <f t="shared" si="0"/>
        <v>-1.713923076923076</v>
      </c>
    </row>
    <row r="35" spans="1:8" x14ac:dyDescent="0.25">
      <c r="A35">
        <v>448725596</v>
      </c>
      <c r="B35" t="s">
        <v>9</v>
      </c>
      <c r="C35">
        <v>-2.7659108590068301E-2</v>
      </c>
      <c r="D35">
        <v>-3.6422365770244198</v>
      </c>
      <c r="E35">
        <v>1.73351349771267E-3</v>
      </c>
      <c r="F35">
        <v>20</v>
      </c>
      <c r="G35" t="str">
        <f>VLOOKUP(A35,[1]inrix_key!$A:$C,3,FALSE)</f>
        <v>Franklin_S</v>
      </c>
      <c r="H35">
        <f t="shared" si="0"/>
        <v>-1.659546515404098</v>
      </c>
    </row>
    <row r="36" spans="1:8" x14ac:dyDescent="0.25">
      <c r="A36">
        <v>484366819</v>
      </c>
      <c r="B36" t="s">
        <v>9</v>
      </c>
      <c r="C36">
        <v>-2.6781519357835099E-2</v>
      </c>
      <c r="D36">
        <v>-2.4569516934736502</v>
      </c>
      <c r="E36">
        <v>2.37995864068377E-2</v>
      </c>
      <c r="F36">
        <v>20</v>
      </c>
      <c r="G36" t="str">
        <f>VLOOKUP(A36,[1]inrix_key!$A:$C,3,FALSE)</f>
        <v>Pine_E</v>
      </c>
      <c r="H36">
        <f t="shared" si="0"/>
        <v>-1.6068911614701058</v>
      </c>
    </row>
    <row r="37" spans="1:8" x14ac:dyDescent="0.25">
      <c r="A37">
        <v>448697009</v>
      </c>
      <c r="B37" t="s">
        <v>9</v>
      </c>
      <c r="C37">
        <v>-2.55162117122643E-2</v>
      </c>
      <c r="D37">
        <v>-3.7595085174237899</v>
      </c>
      <c r="E37">
        <v>1.32688187117219E-3</v>
      </c>
      <c r="F37">
        <v>20</v>
      </c>
      <c r="G37" t="str">
        <f>VLOOKUP(A37,[1]inrix_key!$A:$C,3,FALSE)</f>
        <v>Ustick_S</v>
      </c>
      <c r="H37">
        <f t="shared" si="0"/>
        <v>-1.5309727027358579</v>
      </c>
    </row>
    <row r="38" spans="1:8" x14ac:dyDescent="0.25">
      <c r="A38">
        <v>484371307</v>
      </c>
      <c r="B38" t="s">
        <v>9</v>
      </c>
      <c r="C38">
        <v>-2.5337044293855401E-2</v>
      </c>
      <c r="D38">
        <v>-1.64815938490808</v>
      </c>
      <c r="E38">
        <v>0.115757679035203</v>
      </c>
      <c r="F38">
        <v>20</v>
      </c>
      <c r="G38" t="str">
        <f>VLOOKUP(A38,[1]inrix_key!$A:$C,3,FALSE)</f>
        <v>Pine_E</v>
      </c>
      <c r="H38">
        <f t="shared" si="0"/>
        <v>-1.520222657631324</v>
      </c>
    </row>
    <row r="39" spans="1:8" x14ac:dyDescent="0.25">
      <c r="A39">
        <v>1187466917</v>
      </c>
      <c r="B39" t="s">
        <v>7</v>
      </c>
      <c r="C39">
        <v>-2.5253895201805401E-2</v>
      </c>
      <c r="D39">
        <v>-3.2168652871408301</v>
      </c>
      <c r="E39">
        <v>1.05422308633573E-2</v>
      </c>
      <c r="F39">
        <v>10</v>
      </c>
      <c r="G39" t="str">
        <f>VLOOKUP(A39,[1]inrix_key!$A:$C,3,FALSE)</f>
        <v>Colchester_S</v>
      </c>
      <c r="H39">
        <f t="shared" si="0"/>
        <v>-1.5152337121083241</v>
      </c>
    </row>
    <row r="40" spans="1:8" x14ac:dyDescent="0.25">
      <c r="A40">
        <v>448697006</v>
      </c>
      <c r="B40" t="s">
        <v>9</v>
      </c>
      <c r="C40">
        <v>-2.4501070420807201E-2</v>
      </c>
      <c r="D40">
        <v>-2.7469711046877499</v>
      </c>
      <c r="E40">
        <v>1.2818857722202599E-2</v>
      </c>
      <c r="F40">
        <v>20</v>
      </c>
      <c r="G40" t="str">
        <f>VLOOKUP(A40,[1]inrix_key!$A:$C,3,FALSE)</f>
        <v>StLukes_N</v>
      </c>
      <c r="H40">
        <f t="shared" si="0"/>
        <v>-1.4700642252484322</v>
      </c>
    </row>
    <row r="41" spans="1:8" x14ac:dyDescent="0.25">
      <c r="A41">
        <v>119241469</v>
      </c>
      <c r="B41" t="s">
        <v>9</v>
      </c>
      <c r="C41">
        <v>-2.4234466637975301E-2</v>
      </c>
      <c r="D41">
        <v>-0.85366168358322603</v>
      </c>
      <c r="E41">
        <v>0.41811842617093897</v>
      </c>
      <c r="F41">
        <v>9</v>
      </c>
      <c r="G41" t="str">
        <f>VLOOKUP(A41,[1]inrix_key!$A:$C,3,FALSE)</f>
        <v>Colchester_W</v>
      </c>
      <c r="H41">
        <f t="shared" si="0"/>
        <v>-1.4540679982785181</v>
      </c>
    </row>
    <row r="42" spans="1:8" x14ac:dyDescent="0.25">
      <c r="A42">
        <v>1187517040</v>
      </c>
      <c r="B42" t="s">
        <v>7</v>
      </c>
      <c r="C42">
        <v>-2.4102003723830302E-2</v>
      </c>
      <c r="D42">
        <v>-4.13147647126151</v>
      </c>
      <c r="E42">
        <v>2.55386170827071E-3</v>
      </c>
      <c r="F42">
        <v>10</v>
      </c>
      <c r="G42" t="str">
        <f>VLOOKUP(A42,[1]inrix_key!$A:$C,3,FALSE)</f>
        <v>Wainwright_S</v>
      </c>
      <c r="H42">
        <f t="shared" si="0"/>
        <v>-1.4461202234298181</v>
      </c>
    </row>
    <row r="43" spans="1:8" x14ac:dyDescent="0.25">
      <c r="A43">
        <v>1187577122</v>
      </c>
      <c r="B43" t="s">
        <v>9</v>
      </c>
      <c r="C43">
        <v>-2.33000857329804E-2</v>
      </c>
      <c r="D43">
        <v>-2.4072466967095298</v>
      </c>
      <c r="E43">
        <v>2.64038707597259E-2</v>
      </c>
      <c r="F43">
        <v>20</v>
      </c>
      <c r="G43" t="str">
        <f>VLOOKUP(A43,[1]inrix_key!$A:$C,3,FALSE)</f>
        <v>Chinden_E</v>
      </c>
      <c r="H43">
        <f t="shared" si="0"/>
        <v>-1.3980051439788239</v>
      </c>
    </row>
    <row r="44" spans="1:8" x14ac:dyDescent="0.25">
      <c r="A44">
        <v>1187548987</v>
      </c>
      <c r="B44" t="s">
        <v>7</v>
      </c>
      <c r="C44">
        <v>-2.22667363295459E-2</v>
      </c>
      <c r="D44">
        <v>-4.2535995447313502</v>
      </c>
      <c r="E44">
        <v>2.1311397388814801E-3</v>
      </c>
      <c r="F44">
        <v>10</v>
      </c>
      <c r="G44" t="str">
        <f>VLOOKUP(A44,[1]inrix_key!$A:$C,3,FALSE)</f>
        <v>McMillan_S</v>
      </c>
      <c r="H44">
        <f t="shared" si="0"/>
        <v>-1.336004179772754</v>
      </c>
    </row>
    <row r="45" spans="1:8" x14ac:dyDescent="0.25">
      <c r="A45">
        <v>1187548947</v>
      </c>
      <c r="B45" t="s">
        <v>6</v>
      </c>
      <c r="C45">
        <v>-2.2259615384615301E-2</v>
      </c>
      <c r="D45">
        <v>-3.88389771033866</v>
      </c>
      <c r="E45">
        <v>9.9887731634446192E-4</v>
      </c>
      <c r="F45">
        <v>20</v>
      </c>
      <c r="G45" t="str">
        <f>VLOOKUP(A45,[1]inrix_key!$A:$C,3,FALSE)</f>
        <v>Fairview_S</v>
      </c>
      <c r="H45">
        <f t="shared" si="0"/>
        <v>-1.3355769230769181</v>
      </c>
    </row>
    <row r="46" spans="1:8" x14ac:dyDescent="0.25">
      <c r="A46">
        <v>448697011</v>
      </c>
      <c r="B46" t="s">
        <v>8</v>
      </c>
      <c r="C46">
        <v>-2.1610576923076899E-2</v>
      </c>
      <c r="D46">
        <v>-2.9720465918734602</v>
      </c>
      <c r="E46">
        <v>2.07474459999566E-2</v>
      </c>
      <c r="F46">
        <v>8</v>
      </c>
      <c r="G46" t="str">
        <f>VLOOKUP(A46,[1]inrix_key!$A:$C,3,FALSE)</f>
        <v>Fairview_N</v>
      </c>
      <c r="H46">
        <f t="shared" si="0"/>
        <v>-1.296634615384614</v>
      </c>
    </row>
    <row r="47" spans="1:8" x14ac:dyDescent="0.25">
      <c r="A47">
        <v>448697007</v>
      </c>
      <c r="B47" t="s">
        <v>9</v>
      </c>
      <c r="C47">
        <v>-2.1515234327076398E-2</v>
      </c>
      <c r="D47">
        <v>-2.2519889869051499</v>
      </c>
      <c r="E47">
        <v>3.6346045952864302E-2</v>
      </c>
      <c r="F47">
        <v>20</v>
      </c>
      <c r="G47" t="str">
        <f>VLOOKUP(A47,[1]inrix_key!$A:$C,3,FALSE)</f>
        <v>WB_N</v>
      </c>
      <c r="H47">
        <f t="shared" si="0"/>
        <v>-1.2909140596245838</v>
      </c>
    </row>
    <row r="48" spans="1:8" x14ac:dyDescent="0.25">
      <c r="A48">
        <v>448725596</v>
      </c>
      <c r="B48" t="s">
        <v>8</v>
      </c>
      <c r="C48">
        <v>-2.1384615384615401E-2</v>
      </c>
      <c r="D48">
        <v>-4.0669544751825804</v>
      </c>
      <c r="E48">
        <v>4.76752332416588E-3</v>
      </c>
      <c r="F48">
        <v>8</v>
      </c>
      <c r="G48" t="str">
        <f>VLOOKUP(A48,[1]inrix_key!$A:$C,3,FALSE)</f>
        <v>Franklin_S</v>
      </c>
      <c r="H48">
        <f t="shared" si="0"/>
        <v>-1.2830769230769241</v>
      </c>
    </row>
    <row r="49" spans="1:8" x14ac:dyDescent="0.25">
      <c r="A49">
        <v>448697006</v>
      </c>
      <c r="B49" t="s">
        <v>6</v>
      </c>
      <c r="C49">
        <v>-2.1171153846153801E-2</v>
      </c>
      <c r="D49">
        <v>-2.3258921298482398</v>
      </c>
      <c r="E49">
        <v>3.12463796825313E-2</v>
      </c>
      <c r="F49">
        <v>20</v>
      </c>
      <c r="G49" t="str">
        <f>VLOOKUP(A49,[1]inrix_key!$A:$C,3,FALSE)</f>
        <v>StLukes_N</v>
      </c>
      <c r="H49">
        <f t="shared" si="0"/>
        <v>-1.270269230769228</v>
      </c>
    </row>
    <row r="50" spans="1:8" x14ac:dyDescent="0.25">
      <c r="A50">
        <v>1187612015</v>
      </c>
      <c r="B50" t="s">
        <v>6</v>
      </c>
      <c r="C50">
        <v>-1.8657692307692202E-2</v>
      </c>
      <c r="D50">
        <v>-0.32708051533014998</v>
      </c>
      <c r="E50">
        <v>0.74718302556851601</v>
      </c>
      <c r="F50">
        <v>20</v>
      </c>
      <c r="G50" t="str">
        <f>VLOOKUP(A50,[1]inrix_key!$A:$C,3,FALSE)</f>
        <v>Chinden_W</v>
      </c>
      <c r="H50">
        <f t="shared" si="0"/>
        <v>-1.1194615384615321</v>
      </c>
    </row>
    <row r="51" spans="1:8" x14ac:dyDescent="0.25">
      <c r="A51">
        <v>484366819</v>
      </c>
      <c r="B51" t="s">
        <v>7</v>
      </c>
      <c r="C51">
        <v>-1.84432539682539E-2</v>
      </c>
      <c r="D51">
        <v>-2.2466812067072901</v>
      </c>
      <c r="E51">
        <v>5.1280550756345203E-2</v>
      </c>
      <c r="F51">
        <v>10</v>
      </c>
      <c r="G51" t="str">
        <f>VLOOKUP(A51,[1]inrix_key!$A:$C,3,FALSE)</f>
        <v>Pine_E</v>
      </c>
      <c r="H51">
        <f t="shared" si="0"/>
        <v>-1.106595238095234</v>
      </c>
    </row>
    <row r="52" spans="1:8" x14ac:dyDescent="0.25">
      <c r="A52">
        <v>1187466896</v>
      </c>
      <c r="B52" t="s">
        <v>7</v>
      </c>
      <c r="C52">
        <v>-1.7959810536900201E-2</v>
      </c>
      <c r="D52">
        <v>-1.75288874571355</v>
      </c>
      <c r="E52">
        <v>0.113526434184575</v>
      </c>
      <c r="F52">
        <v>10</v>
      </c>
      <c r="G52" t="str">
        <f>VLOOKUP(A52,[1]inrix_key!$A:$C,3,FALSE)</f>
        <v>IslandWood_S</v>
      </c>
      <c r="H52">
        <f t="shared" si="0"/>
        <v>-1.077588632214012</v>
      </c>
    </row>
    <row r="53" spans="1:8" x14ac:dyDescent="0.25">
      <c r="A53">
        <v>1187549053</v>
      </c>
      <c r="B53" t="s">
        <v>9</v>
      </c>
      <c r="C53">
        <v>-1.71706549298654E-2</v>
      </c>
      <c r="D53">
        <v>-3.0900345267157299</v>
      </c>
      <c r="E53">
        <v>6.0274880077458796E-3</v>
      </c>
      <c r="F53">
        <v>20</v>
      </c>
      <c r="G53" t="str">
        <f>VLOOKUP(A53,[1]inrix_key!$A:$C,3,FALSE)</f>
        <v>HobbleCreek_S</v>
      </c>
      <c r="H53">
        <f t="shared" si="0"/>
        <v>-1.030239295791924</v>
      </c>
    </row>
    <row r="54" spans="1:8" x14ac:dyDescent="0.25">
      <c r="A54">
        <v>448725595</v>
      </c>
      <c r="B54" t="s">
        <v>9</v>
      </c>
      <c r="C54">
        <v>-1.70123318803659E-2</v>
      </c>
      <c r="D54">
        <v>-2.48135618924946</v>
      </c>
      <c r="E54">
        <v>2.2610806129014699E-2</v>
      </c>
      <c r="F54">
        <v>20</v>
      </c>
      <c r="G54" t="str">
        <f>VLOOKUP(A54,[1]inrix_key!$A:$C,3,FALSE)</f>
        <v>StLukes_S</v>
      </c>
      <c r="H54">
        <f t="shared" si="0"/>
        <v>-1.0207399128219541</v>
      </c>
    </row>
    <row r="55" spans="1:8" x14ac:dyDescent="0.25">
      <c r="A55">
        <v>1187636735</v>
      </c>
      <c r="B55" t="s">
        <v>8</v>
      </c>
      <c r="C55">
        <v>-1.6639423076923E-2</v>
      </c>
      <c r="D55">
        <v>-1.8840558242813901</v>
      </c>
      <c r="E55">
        <v>0.101558785606913</v>
      </c>
      <c r="F55">
        <v>8</v>
      </c>
      <c r="G55" t="str">
        <f>VLOOKUP(A55,[1]inrix_key!$A:$C,3,FALSE)</f>
        <v>WB_E</v>
      </c>
      <c r="H55">
        <f t="shared" si="0"/>
        <v>-0.99836538461537994</v>
      </c>
    </row>
    <row r="56" spans="1:8" x14ac:dyDescent="0.25">
      <c r="A56">
        <v>448725597</v>
      </c>
      <c r="B56" t="s">
        <v>9</v>
      </c>
      <c r="C56">
        <v>-1.6386054408268E-2</v>
      </c>
      <c r="D56">
        <v>-1.3159153889339199</v>
      </c>
      <c r="E56">
        <v>0.203859422604795</v>
      </c>
      <c r="F56">
        <v>20</v>
      </c>
      <c r="G56" t="str">
        <f>VLOOKUP(A56,[1]inrix_key!$A:$C,3,FALSE)</f>
        <v>Ustick_E</v>
      </c>
      <c r="H56">
        <f t="shared" si="0"/>
        <v>-0.98316326449607994</v>
      </c>
    </row>
    <row r="57" spans="1:8" x14ac:dyDescent="0.25">
      <c r="A57">
        <v>117772024</v>
      </c>
      <c r="B57" t="s">
        <v>8</v>
      </c>
      <c r="C57">
        <v>-1.5826923076922999E-2</v>
      </c>
      <c r="D57">
        <v>-3.6399338407978199</v>
      </c>
      <c r="E57">
        <v>8.2878228527223097E-3</v>
      </c>
      <c r="F57">
        <v>8</v>
      </c>
      <c r="G57" t="str">
        <f>VLOOKUP(A57,[1]inrix_key!$A:$C,3,FALSE)</f>
        <v>IslandWood_W</v>
      </c>
      <c r="H57">
        <f t="shared" si="0"/>
        <v>-0.94961538461537998</v>
      </c>
    </row>
    <row r="58" spans="1:8" x14ac:dyDescent="0.25">
      <c r="A58">
        <v>1187335042</v>
      </c>
      <c r="B58" t="s">
        <v>7</v>
      </c>
      <c r="C58">
        <v>-1.4589313683392601E-2</v>
      </c>
      <c r="D58">
        <v>-1.6315668449210099</v>
      </c>
      <c r="E58">
        <v>0.13720683710401599</v>
      </c>
      <c r="F58">
        <v>10</v>
      </c>
      <c r="G58" t="str">
        <f>VLOOKUP(A58,[1]inrix_key!$A:$C,3,FALSE)</f>
        <v>Ustick_N</v>
      </c>
      <c r="H58">
        <f t="shared" si="0"/>
        <v>-0.875358821003556</v>
      </c>
    </row>
    <row r="59" spans="1:8" x14ac:dyDescent="0.25">
      <c r="A59">
        <v>1187548987</v>
      </c>
      <c r="B59" t="s">
        <v>9</v>
      </c>
      <c r="C59">
        <v>-1.4138107265970999E-2</v>
      </c>
      <c r="D59">
        <v>-3.39874303937887</v>
      </c>
      <c r="E59">
        <v>3.0130206300972699E-3</v>
      </c>
      <c r="F59">
        <v>20</v>
      </c>
      <c r="G59" t="str">
        <f>VLOOKUP(A59,[1]inrix_key!$A:$C,3,FALSE)</f>
        <v>McMillan_S</v>
      </c>
      <c r="H59">
        <f t="shared" si="0"/>
        <v>-0.84828643595825992</v>
      </c>
    </row>
    <row r="60" spans="1:8" x14ac:dyDescent="0.25">
      <c r="A60">
        <v>1187466896</v>
      </c>
      <c r="B60" t="s">
        <v>8</v>
      </c>
      <c r="C60">
        <v>-1.40673076923077E-2</v>
      </c>
      <c r="D60">
        <v>-2.1350541153632498</v>
      </c>
      <c r="E60">
        <v>7.0144736066592703E-2</v>
      </c>
      <c r="F60">
        <v>8</v>
      </c>
      <c r="G60" t="str">
        <f>VLOOKUP(A60,[1]inrix_key!$A:$C,3,FALSE)</f>
        <v>IslandWood_S</v>
      </c>
      <c r="H60">
        <f t="shared" si="0"/>
        <v>-0.84403846153846196</v>
      </c>
    </row>
    <row r="61" spans="1:8" x14ac:dyDescent="0.25">
      <c r="A61">
        <v>1187333665</v>
      </c>
      <c r="B61" t="s">
        <v>7</v>
      </c>
      <c r="C61">
        <v>-1.3799675324675201E-2</v>
      </c>
      <c r="D61">
        <v>-1.0958920461956201</v>
      </c>
      <c r="E61">
        <v>0.30158323850852398</v>
      </c>
      <c r="F61">
        <v>10</v>
      </c>
      <c r="G61" t="str">
        <f>VLOOKUP(A61,[1]inrix_key!$A:$C,3,FALSE)</f>
        <v>Chinden_N</v>
      </c>
      <c r="H61">
        <f t="shared" si="0"/>
        <v>-0.8279805194805121</v>
      </c>
    </row>
    <row r="62" spans="1:8" x14ac:dyDescent="0.25">
      <c r="A62">
        <v>448697010</v>
      </c>
      <c r="B62" t="s">
        <v>7</v>
      </c>
      <c r="C62">
        <v>-1.3393171534348E-2</v>
      </c>
      <c r="D62">
        <v>-2.8005856678201302</v>
      </c>
      <c r="E62">
        <v>2.0692826853727499E-2</v>
      </c>
      <c r="F62">
        <v>10</v>
      </c>
      <c r="G62" t="str">
        <f>VLOOKUP(A62,[1]inrix_key!$A:$C,3,FALSE)</f>
        <v>RiverValley_N</v>
      </c>
      <c r="H62">
        <f t="shared" si="0"/>
        <v>-0.80359029206088006</v>
      </c>
    </row>
    <row r="63" spans="1:8" x14ac:dyDescent="0.25">
      <c r="A63">
        <v>1187548975</v>
      </c>
      <c r="B63" t="s">
        <v>9</v>
      </c>
      <c r="C63">
        <v>-1.3391578908277701E-2</v>
      </c>
      <c r="D63">
        <v>-1.6568801539460301</v>
      </c>
      <c r="E63">
        <v>0.113964763389719</v>
      </c>
      <c r="F63">
        <v>20</v>
      </c>
      <c r="G63" t="str">
        <f>VLOOKUP(A63,[1]inrix_key!$A:$C,3,FALSE)</f>
        <v>Pine_S</v>
      </c>
      <c r="H63">
        <f t="shared" si="0"/>
        <v>-0.80349473449666209</v>
      </c>
    </row>
    <row r="64" spans="1:8" x14ac:dyDescent="0.25">
      <c r="A64">
        <v>448725599</v>
      </c>
      <c r="B64" t="s">
        <v>6</v>
      </c>
      <c r="C64">
        <v>-1.29403846153846E-2</v>
      </c>
      <c r="D64">
        <v>-0.72545213392961805</v>
      </c>
      <c r="E64">
        <v>0.477015761664694</v>
      </c>
      <c r="F64">
        <v>20</v>
      </c>
      <c r="G64" t="str">
        <f>VLOOKUP(A64,[1]inrix_key!$A:$C,3,FALSE)</f>
        <v>Chinden_S</v>
      </c>
      <c r="H64">
        <f t="shared" si="0"/>
        <v>-0.77642307692307599</v>
      </c>
    </row>
    <row r="65" spans="1:8" x14ac:dyDescent="0.25">
      <c r="A65">
        <v>1187377510</v>
      </c>
      <c r="B65" t="s">
        <v>6</v>
      </c>
      <c r="C65">
        <v>-1.2728846153846099E-2</v>
      </c>
      <c r="D65">
        <v>-2.0537222341766399</v>
      </c>
      <c r="E65">
        <v>5.4026248925851797E-2</v>
      </c>
      <c r="F65">
        <v>20</v>
      </c>
      <c r="G65" t="str">
        <f>VLOOKUP(A65,[1]inrix_key!$A:$C,3,FALSE)</f>
        <v>EB_S</v>
      </c>
      <c r="H65">
        <f t="shared" si="0"/>
        <v>-0.76373076923076599</v>
      </c>
    </row>
    <row r="66" spans="1:8" x14ac:dyDescent="0.25">
      <c r="A66">
        <v>1187377510</v>
      </c>
      <c r="B66" t="s">
        <v>7</v>
      </c>
      <c r="C66">
        <v>-1.2104416335298599E-2</v>
      </c>
      <c r="D66">
        <v>-5.0563875608572397</v>
      </c>
      <c r="E66">
        <v>6.84385686442777E-4</v>
      </c>
      <c r="F66">
        <v>10</v>
      </c>
      <c r="G66" t="str">
        <f>VLOOKUP(A66,[1]inrix_key!$A:$C,3,FALSE)</f>
        <v>EB_S</v>
      </c>
      <c r="H66">
        <f t="shared" ref="H66:H129" si="1">60*C66</f>
        <v>-0.72626498011791596</v>
      </c>
    </row>
    <row r="67" spans="1:8" x14ac:dyDescent="0.25">
      <c r="A67">
        <v>448694747</v>
      </c>
      <c r="B67" t="s">
        <v>6</v>
      </c>
      <c r="C67">
        <v>-1.1284615384615299E-2</v>
      </c>
      <c r="D67">
        <v>-3.0117213803547598</v>
      </c>
      <c r="E67">
        <v>7.1730478159304301E-3</v>
      </c>
      <c r="F67">
        <v>20</v>
      </c>
      <c r="G67" t="str">
        <f>VLOOKUP(A67,[1]inrix_key!$A:$C,3,FALSE)</f>
        <v>Fairview_W</v>
      </c>
      <c r="H67">
        <f t="shared" si="1"/>
        <v>-0.67707692307691791</v>
      </c>
    </row>
    <row r="68" spans="1:8" x14ac:dyDescent="0.25">
      <c r="A68">
        <v>1187654609</v>
      </c>
      <c r="B68" t="s">
        <v>6</v>
      </c>
      <c r="C68">
        <v>-1.1255769230769199E-2</v>
      </c>
      <c r="D68">
        <v>-1.4413123161481001</v>
      </c>
      <c r="E68">
        <v>0.16577558711746901</v>
      </c>
      <c r="F68">
        <v>20</v>
      </c>
      <c r="G68" t="str">
        <f>VLOOKUP(A68,[1]inrix_key!$A:$C,3,FALSE)</f>
        <v>Pine_N</v>
      </c>
      <c r="H68">
        <f t="shared" si="1"/>
        <v>-0.67534615384615193</v>
      </c>
    </row>
    <row r="69" spans="1:8" x14ac:dyDescent="0.25">
      <c r="A69">
        <v>448697008</v>
      </c>
      <c r="B69" t="s">
        <v>9</v>
      </c>
      <c r="C69">
        <v>-1.0987701917965E-2</v>
      </c>
      <c r="D69">
        <v>-2.07874606787724</v>
      </c>
      <c r="E69">
        <v>5.1430216398135498E-2</v>
      </c>
      <c r="F69">
        <v>20</v>
      </c>
      <c r="G69" t="str">
        <f>VLOOKUP(A69,[1]inrix_key!$A:$C,3,FALSE)</f>
        <v>RiverValley_S</v>
      </c>
      <c r="H69">
        <f t="shared" si="1"/>
        <v>-0.6592621150779</v>
      </c>
    </row>
    <row r="70" spans="1:8" x14ac:dyDescent="0.25">
      <c r="A70">
        <v>384121516</v>
      </c>
      <c r="B70" t="s">
        <v>9</v>
      </c>
      <c r="C70">
        <v>-1.04804316182432E-2</v>
      </c>
      <c r="D70">
        <v>-1.46543555314477</v>
      </c>
      <c r="E70">
        <v>0.16005239315556399</v>
      </c>
      <c r="F70">
        <v>19</v>
      </c>
      <c r="G70" t="str">
        <f>VLOOKUP(A70,[1]inrix_key!$A:$C,3,FALSE)</f>
        <v>McMillan_W</v>
      </c>
      <c r="H70">
        <f t="shared" si="1"/>
        <v>-0.62882589709459202</v>
      </c>
    </row>
    <row r="71" spans="1:8" x14ac:dyDescent="0.25">
      <c r="A71">
        <v>1187517040</v>
      </c>
      <c r="B71" t="s">
        <v>9</v>
      </c>
      <c r="C71">
        <v>-1.0127161228864E-2</v>
      </c>
      <c r="D71">
        <v>-2.4071475627052701</v>
      </c>
      <c r="E71">
        <v>2.64093210073123E-2</v>
      </c>
      <c r="F71">
        <v>20</v>
      </c>
      <c r="G71" t="str">
        <f>VLOOKUP(A71,[1]inrix_key!$A:$C,3,FALSE)</f>
        <v>Wainwright_S</v>
      </c>
      <c r="H71">
        <f t="shared" si="1"/>
        <v>-0.60762967373183996</v>
      </c>
    </row>
    <row r="72" spans="1:8" x14ac:dyDescent="0.25">
      <c r="A72">
        <v>448695753</v>
      </c>
      <c r="B72" t="s">
        <v>7</v>
      </c>
      <c r="C72">
        <v>-1.00162353728143E-2</v>
      </c>
      <c r="D72">
        <v>-1.8259894173225399</v>
      </c>
      <c r="E72">
        <v>0.10113751426755101</v>
      </c>
      <c r="F72">
        <v>10</v>
      </c>
      <c r="G72" t="str">
        <f>VLOOKUP(A72,[1]inrix_key!$A:$C,3,FALSE)</f>
        <v>Riverside_S</v>
      </c>
      <c r="H72">
        <f t="shared" si="1"/>
        <v>-0.60097412236885805</v>
      </c>
    </row>
    <row r="73" spans="1:8" x14ac:dyDescent="0.25">
      <c r="A73">
        <v>1187577122</v>
      </c>
      <c r="B73" t="s">
        <v>8</v>
      </c>
      <c r="C73">
        <v>-9.9807692307692601E-3</v>
      </c>
      <c r="D73">
        <v>-0.85384282925371402</v>
      </c>
      <c r="E73">
        <v>0.42144711144852598</v>
      </c>
      <c r="F73">
        <v>8</v>
      </c>
      <c r="G73" t="str">
        <f>VLOOKUP(A73,[1]inrix_key!$A:$C,3,FALSE)</f>
        <v>Chinden_E</v>
      </c>
      <c r="H73">
        <f t="shared" si="1"/>
        <v>-0.59884615384615558</v>
      </c>
    </row>
    <row r="74" spans="1:8" x14ac:dyDescent="0.25">
      <c r="A74">
        <v>1187636735</v>
      </c>
      <c r="B74" t="s">
        <v>9</v>
      </c>
      <c r="C74">
        <v>-9.1753073723661992E-3</v>
      </c>
      <c r="D74">
        <v>-1.34154417611804</v>
      </c>
      <c r="E74">
        <v>0.195559508154211</v>
      </c>
      <c r="F74">
        <v>20</v>
      </c>
      <c r="G74" t="str">
        <f>VLOOKUP(A74,[1]inrix_key!$A:$C,3,FALSE)</f>
        <v>WB_E</v>
      </c>
      <c r="H74">
        <f t="shared" si="1"/>
        <v>-0.550518442341972</v>
      </c>
    </row>
    <row r="75" spans="1:8" x14ac:dyDescent="0.25">
      <c r="A75">
        <v>448697007</v>
      </c>
      <c r="B75" t="s">
        <v>8</v>
      </c>
      <c r="C75">
        <v>-9.0961538461538406E-3</v>
      </c>
      <c r="D75">
        <v>-0.47022741692985098</v>
      </c>
      <c r="E75">
        <v>0.65249080861064002</v>
      </c>
      <c r="F75">
        <v>8</v>
      </c>
      <c r="G75" t="str">
        <f>VLOOKUP(A75,[1]inrix_key!$A:$C,3,FALSE)</f>
        <v>WB_N</v>
      </c>
      <c r="H75">
        <f t="shared" si="1"/>
        <v>-0.54576923076923045</v>
      </c>
    </row>
    <row r="76" spans="1:8" x14ac:dyDescent="0.25">
      <c r="A76">
        <v>1187548975</v>
      </c>
      <c r="B76" t="s">
        <v>8</v>
      </c>
      <c r="C76">
        <v>-8.9903846153846206E-3</v>
      </c>
      <c r="D76">
        <v>-1.3170964473747899</v>
      </c>
      <c r="E76">
        <v>0.22928187300396</v>
      </c>
      <c r="F76">
        <v>8</v>
      </c>
      <c r="G76" t="str">
        <f>VLOOKUP(A76,[1]inrix_key!$A:$C,3,FALSE)</f>
        <v>Pine_S</v>
      </c>
      <c r="H76">
        <f t="shared" si="1"/>
        <v>-0.53942307692307723</v>
      </c>
    </row>
    <row r="77" spans="1:8" x14ac:dyDescent="0.25">
      <c r="A77">
        <v>1187334983</v>
      </c>
      <c r="B77" t="s">
        <v>9</v>
      </c>
      <c r="C77">
        <v>-8.9137174229279702E-3</v>
      </c>
      <c r="D77">
        <v>-1.21245245284978</v>
      </c>
      <c r="E77">
        <v>0.24020046979935</v>
      </c>
      <c r="F77">
        <v>20</v>
      </c>
      <c r="G77" t="str">
        <f>VLOOKUP(A77,[1]inrix_key!$A:$C,3,FALSE)</f>
        <v>Wainwright_N</v>
      </c>
      <c r="H77">
        <f t="shared" si="1"/>
        <v>-0.53482304537567826</v>
      </c>
    </row>
    <row r="78" spans="1:8" x14ac:dyDescent="0.25">
      <c r="A78">
        <v>448694757</v>
      </c>
      <c r="B78" t="s">
        <v>8</v>
      </c>
      <c r="C78">
        <v>-8.5528846153846202E-3</v>
      </c>
      <c r="D78">
        <v>-0.53744989148756195</v>
      </c>
      <c r="E78">
        <v>0.60761068747661595</v>
      </c>
      <c r="F78">
        <v>8</v>
      </c>
      <c r="G78" t="str">
        <f>VLOOKUP(A78,[1]inrix_key!$A:$C,3,FALSE)</f>
        <v>Ustick_W</v>
      </c>
      <c r="H78">
        <f t="shared" si="1"/>
        <v>-0.51317307692307723</v>
      </c>
    </row>
    <row r="79" spans="1:8" x14ac:dyDescent="0.25">
      <c r="A79">
        <v>119241469</v>
      </c>
      <c r="B79" t="s">
        <v>8</v>
      </c>
      <c r="C79">
        <v>-8.1265463337831592E-3</v>
      </c>
      <c r="D79">
        <v>-1.79267931802194</v>
      </c>
      <c r="E79">
        <v>0.1161217139049</v>
      </c>
      <c r="F79">
        <v>8</v>
      </c>
      <c r="G79" t="str">
        <f>VLOOKUP(A79,[1]inrix_key!$A:$C,3,FALSE)</f>
        <v>Colchester_W</v>
      </c>
      <c r="H79">
        <f t="shared" si="1"/>
        <v>-0.48759278002698958</v>
      </c>
    </row>
    <row r="80" spans="1:8" x14ac:dyDescent="0.25">
      <c r="A80">
        <v>384121516</v>
      </c>
      <c r="B80" t="s">
        <v>7</v>
      </c>
      <c r="C80">
        <v>-8.1250000000000194E-3</v>
      </c>
      <c r="D80">
        <v>-0.42677875740858101</v>
      </c>
      <c r="E80">
        <v>0.68235932385136699</v>
      </c>
      <c r="F80">
        <v>8</v>
      </c>
      <c r="G80" t="str">
        <f>VLOOKUP(A80,[1]inrix_key!$A:$C,3,FALSE)</f>
        <v>McMillan_W</v>
      </c>
      <c r="H80">
        <f t="shared" si="1"/>
        <v>-0.48750000000000115</v>
      </c>
    </row>
    <row r="81" spans="1:8" x14ac:dyDescent="0.25">
      <c r="A81">
        <v>119501618</v>
      </c>
      <c r="B81" t="s">
        <v>9</v>
      </c>
      <c r="C81">
        <v>-7.9650128938828797E-3</v>
      </c>
      <c r="D81">
        <v>-0.646163729246653</v>
      </c>
      <c r="E81">
        <v>0.52590187779319797</v>
      </c>
      <c r="F81">
        <v>20</v>
      </c>
      <c r="G81" t="str">
        <f>VLOOKUP(A81,[1]inrix_key!$A:$C,3,FALSE)</f>
        <v>McMillan_N</v>
      </c>
      <c r="H81">
        <f t="shared" si="1"/>
        <v>-0.47790077363297279</v>
      </c>
    </row>
    <row r="82" spans="1:8" x14ac:dyDescent="0.25">
      <c r="A82">
        <v>428958434</v>
      </c>
      <c r="B82" t="s">
        <v>8</v>
      </c>
      <c r="C82">
        <v>-7.8365384615384399E-3</v>
      </c>
      <c r="D82">
        <v>-0.88148531588338797</v>
      </c>
      <c r="E82">
        <v>0.40730199784461901</v>
      </c>
      <c r="F82">
        <v>8</v>
      </c>
      <c r="G82">
        <f>VLOOKUP(A82,[1]inrix_key!$A:$C,3,FALSE)</f>
        <v>0</v>
      </c>
      <c r="H82">
        <f t="shared" si="1"/>
        <v>-0.47019230769230641</v>
      </c>
    </row>
    <row r="83" spans="1:8" x14ac:dyDescent="0.25">
      <c r="A83">
        <v>428958435</v>
      </c>
      <c r="B83" t="s">
        <v>9</v>
      </c>
      <c r="C83">
        <v>-7.2084698196540203E-3</v>
      </c>
      <c r="D83">
        <v>-1.64422979278558</v>
      </c>
      <c r="E83">
        <v>0.11657336439207799</v>
      </c>
      <c r="F83">
        <v>20</v>
      </c>
      <c r="G83">
        <f>VLOOKUP(A83,[1]inrix_key!$A:$C,3,FALSE)</f>
        <v>0</v>
      </c>
      <c r="H83">
        <f t="shared" si="1"/>
        <v>-0.43250818917924122</v>
      </c>
    </row>
    <row r="84" spans="1:8" x14ac:dyDescent="0.25">
      <c r="A84">
        <v>1187532837</v>
      </c>
      <c r="B84" t="s">
        <v>9</v>
      </c>
      <c r="C84">
        <v>-7.1990394538381996E-3</v>
      </c>
      <c r="D84">
        <v>-2.0647219075759899</v>
      </c>
      <c r="E84">
        <v>5.28708961377269E-2</v>
      </c>
      <c r="F84">
        <v>20</v>
      </c>
      <c r="G84" t="str">
        <f>VLOOKUP(A84,[1]inrix_key!$A:$C,3,FALSE)</f>
        <v>HobbleCreek_N</v>
      </c>
      <c r="H84">
        <f t="shared" si="1"/>
        <v>-0.431942367230292</v>
      </c>
    </row>
    <row r="85" spans="1:8" x14ac:dyDescent="0.25">
      <c r="A85">
        <v>484366819</v>
      </c>
      <c r="B85" t="s">
        <v>6</v>
      </c>
      <c r="C85">
        <v>-7.1346153846153903E-3</v>
      </c>
      <c r="D85">
        <v>-2.52339777076793</v>
      </c>
      <c r="E85">
        <v>2.0692589695002199E-2</v>
      </c>
      <c r="F85">
        <v>20</v>
      </c>
      <c r="G85" t="str">
        <f>VLOOKUP(A85,[1]inrix_key!$A:$C,3,FALSE)</f>
        <v>Pine_E</v>
      </c>
      <c r="H85">
        <f t="shared" si="1"/>
        <v>-0.42807692307692341</v>
      </c>
    </row>
    <row r="86" spans="1:8" x14ac:dyDescent="0.25">
      <c r="A86">
        <v>448695753</v>
      </c>
      <c r="B86" t="s">
        <v>9</v>
      </c>
      <c r="C86">
        <v>-6.6049251187408897E-3</v>
      </c>
      <c r="D86">
        <v>-1.18551093462401</v>
      </c>
      <c r="E86">
        <v>0.25043112780625898</v>
      </c>
      <c r="F86">
        <v>20</v>
      </c>
      <c r="G86" t="str">
        <f>VLOOKUP(A86,[1]inrix_key!$A:$C,3,FALSE)</f>
        <v>Riverside_S</v>
      </c>
      <c r="H86">
        <f t="shared" si="1"/>
        <v>-0.39629550712445338</v>
      </c>
    </row>
    <row r="87" spans="1:8" x14ac:dyDescent="0.25">
      <c r="A87">
        <v>448697007</v>
      </c>
      <c r="B87" t="s">
        <v>7</v>
      </c>
      <c r="C87">
        <v>-6.2552447552447696E-3</v>
      </c>
      <c r="D87">
        <v>-0.69240354876337995</v>
      </c>
      <c r="E87">
        <v>0.50615434300515505</v>
      </c>
      <c r="F87">
        <v>10</v>
      </c>
      <c r="G87" t="str">
        <f>VLOOKUP(A87,[1]inrix_key!$A:$C,3,FALSE)</f>
        <v>WB_N</v>
      </c>
      <c r="H87">
        <f t="shared" si="1"/>
        <v>-0.37531468531468615</v>
      </c>
    </row>
    <row r="88" spans="1:8" x14ac:dyDescent="0.25">
      <c r="A88">
        <v>448694757</v>
      </c>
      <c r="B88" t="s">
        <v>9</v>
      </c>
      <c r="C88">
        <v>-5.7083169238742104E-3</v>
      </c>
      <c r="D88">
        <v>-0.44301688308384102</v>
      </c>
      <c r="E88">
        <v>0.66275637968614498</v>
      </c>
      <c r="F88">
        <v>20</v>
      </c>
      <c r="G88" t="str">
        <f>VLOOKUP(A88,[1]inrix_key!$A:$C,3,FALSE)</f>
        <v>Ustick_W</v>
      </c>
      <c r="H88">
        <f t="shared" si="1"/>
        <v>-0.34249901543245265</v>
      </c>
    </row>
    <row r="89" spans="1:8" x14ac:dyDescent="0.25">
      <c r="A89">
        <v>448694747</v>
      </c>
      <c r="B89" t="s">
        <v>7</v>
      </c>
      <c r="C89">
        <v>-5.6266428016428097E-3</v>
      </c>
      <c r="D89">
        <v>-0.38181027091627401</v>
      </c>
      <c r="E89">
        <v>0.71146074965737005</v>
      </c>
      <c r="F89">
        <v>10</v>
      </c>
      <c r="G89" t="str">
        <f>VLOOKUP(A89,[1]inrix_key!$A:$C,3,FALSE)</f>
        <v>Fairview_W</v>
      </c>
      <c r="H89">
        <f t="shared" si="1"/>
        <v>-0.33759856809856859</v>
      </c>
    </row>
    <row r="90" spans="1:8" x14ac:dyDescent="0.25">
      <c r="A90">
        <v>448695751</v>
      </c>
      <c r="B90" t="s">
        <v>9</v>
      </c>
      <c r="C90">
        <v>-5.61496467713572E-3</v>
      </c>
      <c r="D90">
        <v>-0.99841327435616001</v>
      </c>
      <c r="E90">
        <v>0.330625505722143</v>
      </c>
      <c r="F90">
        <v>20</v>
      </c>
      <c r="G90" t="str">
        <f>VLOOKUP(A90,[1]inrix_key!$A:$C,3,FALSE)</f>
        <v>Riverside_N</v>
      </c>
      <c r="H90">
        <f t="shared" si="1"/>
        <v>-0.33689788062814319</v>
      </c>
    </row>
    <row r="91" spans="1:8" x14ac:dyDescent="0.25">
      <c r="A91">
        <v>1187577122</v>
      </c>
      <c r="B91" t="s">
        <v>6</v>
      </c>
      <c r="C91">
        <v>-5.2634615384614704E-3</v>
      </c>
      <c r="D91">
        <v>-0.88921452850951399</v>
      </c>
      <c r="E91">
        <v>0.385008048274954</v>
      </c>
      <c r="F91">
        <v>20</v>
      </c>
      <c r="G91" t="str">
        <f>VLOOKUP(A91,[1]inrix_key!$A:$C,3,FALSE)</f>
        <v>Chinden_E</v>
      </c>
      <c r="H91">
        <f t="shared" si="1"/>
        <v>-0.31580769230768824</v>
      </c>
    </row>
    <row r="92" spans="1:8" x14ac:dyDescent="0.25">
      <c r="A92">
        <v>1187636735</v>
      </c>
      <c r="B92" t="s">
        <v>7</v>
      </c>
      <c r="C92">
        <v>-5.1980691608013597E-3</v>
      </c>
      <c r="D92">
        <v>-0.62042777522313497</v>
      </c>
      <c r="E92">
        <v>0.55036157555952203</v>
      </c>
      <c r="F92">
        <v>10</v>
      </c>
      <c r="G92" t="str">
        <f>VLOOKUP(A92,[1]inrix_key!$A:$C,3,FALSE)</f>
        <v>WB_E</v>
      </c>
      <c r="H92">
        <f t="shared" si="1"/>
        <v>-0.31188414964808159</v>
      </c>
    </row>
    <row r="93" spans="1:8" x14ac:dyDescent="0.25">
      <c r="A93">
        <v>448697010</v>
      </c>
      <c r="B93" t="s">
        <v>9</v>
      </c>
      <c r="C93">
        <v>-4.9794299611636804E-3</v>
      </c>
      <c r="D93">
        <v>-0.66338853664894004</v>
      </c>
      <c r="E93">
        <v>0.51505083935183804</v>
      </c>
      <c r="F93">
        <v>20</v>
      </c>
      <c r="G93" t="str">
        <f>VLOOKUP(A93,[1]inrix_key!$A:$C,3,FALSE)</f>
        <v>RiverValley_N</v>
      </c>
      <c r="H93">
        <f t="shared" si="1"/>
        <v>-0.29876579766982081</v>
      </c>
    </row>
    <row r="94" spans="1:8" x14ac:dyDescent="0.25">
      <c r="A94">
        <v>1187635580</v>
      </c>
      <c r="B94" t="s">
        <v>9</v>
      </c>
      <c r="C94">
        <v>-4.9075098147466504E-3</v>
      </c>
      <c r="D94">
        <v>-0.84407723463361295</v>
      </c>
      <c r="E94">
        <v>0.40912854881441502</v>
      </c>
      <c r="F94">
        <v>20</v>
      </c>
      <c r="G94" t="str">
        <f>VLOOKUP(A94,[1]inrix_key!$A:$C,3,FALSE)</f>
        <v>WB_S</v>
      </c>
      <c r="H94">
        <f t="shared" si="1"/>
        <v>-0.29445058888479902</v>
      </c>
    </row>
    <row r="95" spans="1:8" x14ac:dyDescent="0.25">
      <c r="A95">
        <v>1187377510</v>
      </c>
      <c r="B95" t="s">
        <v>9</v>
      </c>
      <c r="C95">
        <v>-4.6306290201026997E-3</v>
      </c>
      <c r="D95">
        <v>-0.86049354613659002</v>
      </c>
      <c r="E95">
        <v>0.40024548649352798</v>
      </c>
      <c r="F95">
        <v>20</v>
      </c>
      <c r="G95" t="str">
        <f>VLOOKUP(A95,[1]inrix_key!$A:$C,3,FALSE)</f>
        <v>EB_S</v>
      </c>
      <c r="H95">
        <f t="shared" si="1"/>
        <v>-0.277837741206162</v>
      </c>
    </row>
    <row r="96" spans="1:8" x14ac:dyDescent="0.25">
      <c r="A96">
        <v>1187334983</v>
      </c>
      <c r="B96" t="s">
        <v>7</v>
      </c>
      <c r="C96">
        <v>-4.0251738028054002E-3</v>
      </c>
      <c r="D96">
        <v>-0.51671877106742004</v>
      </c>
      <c r="E96">
        <v>0.61780898939111195</v>
      </c>
      <c r="F96">
        <v>10</v>
      </c>
      <c r="G96" t="str">
        <f>VLOOKUP(A96,[1]inrix_key!$A:$C,3,FALSE)</f>
        <v>Wainwright_N</v>
      </c>
      <c r="H96">
        <f t="shared" si="1"/>
        <v>-0.24151042816832402</v>
      </c>
    </row>
    <row r="97" spans="1:8" x14ac:dyDescent="0.25">
      <c r="A97">
        <v>1187654609</v>
      </c>
      <c r="B97" t="s">
        <v>9</v>
      </c>
      <c r="C97">
        <v>-3.7920745920746002E-3</v>
      </c>
      <c r="D97">
        <v>-0.28204159692189001</v>
      </c>
      <c r="E97">
        <v>0.78096082562275504</v>
      </c>
      <c r="F97">
        <v>20</v>
      </c>
      <c r="G97" t="str">
        <f>VLOOKUP(A97,[1]inrix_key!$A:$C,3,FALSE)</f>
        <v>Pine_N</v>
      </c>
      <c r="H97">
        <f t="shared" si="1"/>
        <v>-0.22752447552447602</v>
      </c>
    </row>
    <row r="98" spans="1:8" x14ac:dyDescent="0.25">
      <c r="A98">
        <v>1187654609</v>
      </c>
      <c r="B98" t="s">
        <v>8</v>
      </c>
      <c r="C98">
        <v>-3.7740384615384602E-3</v>
      </c>
      <c r="D98">
        <v>-0.29045803889639499</v>
      </c>
      <c r="E98">
        <v>0.77988235372358905</v>
      </c>
      <c r="F98">
        <v>8</v>
      </c>
      <c r="G98" t="str">
        <f>VLOOKUP(A98,[1]inrix_key!$A:$C,3,FALSE)</f>
        <v>Pine_N</v>
      </c>
      <c r="H98">
        <f t="shared" si="1"/>
        <v>-0.22644230769230761</v>
      </c>
    </row>
    <row r="99" spans="1:8" x14ac:dyDescent="0.25">
      <c r="A99">
        <v>448697010</v>
      </c>
      <c r="B99" t="s">
        <v>6</v>
      </c>
      <c r="C99">
        <v>-3.0211538461538201E-3</v>
      </c>
      <c r="D99">
        <v>-0.401918235949495</v>
      </c>
      <c r="E99">
        <v>0.69222941746723499</v>
      </c>
      <c r="F99">
        <v>20</v>
      </c>
      <c r="G99" t="str">
        <f>VLOOKUP(A99,[1]inrix_key!$A:$C,3,FALSE)</f>
        <v>RiverValley_N</v>
      </c>
      <c r="H99">
        <f t="shared" si="1"/>
        <v>-0.18126923076922921</v>
      </c>
    </row>
    <row r="100" spans="1:8" x14ac:dyDescent="0.25">
      <c r="A100">
        <v>117772024</v>
      </c>
      <c r="B100" t="s">
        <v>6</v>
      </c>
      <c r="C100">
        <v>-2.7698380566801599E-3</v>
      </c>
      <c r="D100">
        <v>-1.07070744520483</v>
      </c>
      <c r="E100">
        <v>0.29771443825360999</v>
      </c>
      <c r="F100">
        <v>20</v>
      </c>
      <c r="G100" t="str">
        <f>VLOOKUP(A100,[1]inrix_key!$A:$C,3,FALSE)</f>
        <v>IslandWood_W</v>
      </c>
      <c r="H100">
        <f t="shared" si="1"/>
        <v>-0.1661902834008096</v>
      </c>
    </row>
    <row r="101" spans="1:8" x14ac:dyDescent="0.25">
      <c r="A101">
        <v>448725595</v>
      </c>
      <c r="B101" t="s">
        <v>8</v>
      </c>
      <c r="C101">
        <v>-2.62019230769228E-3</v>
      </c>
      <c r="D101">
        <v>-0.396650744950721</v>
      </c>
      <c r="E101">
        <v>0.70343939455733995</v>
      </c>
      <c r="F101">
        <v>8</v>
      </c>
      <c r="G101" t="str">
        <f>VLOOKUP(A101,[1]inrix_key!$A:$C,3,FALSE)</f>
        <v>StLukes_S</v>
      </c>
      <c r="H101">
        <f t="shared" si="1"/>
        <v>-0.15721153846153679</v>
      </c>
    </row>
    <row r="102" spans="1:8" x14ac:dyDescent="0.25">
      <c r="A102">
        <v>384139881</v>
      </c>
      <c r="B102" t="s">
        <v>8</v>
      </c>
      <c r="C102">
        <v>-2.5192307692307402E-3</v>
      </c>
      <c r="D102">
        <v>-0.204894915303272</v>
      </c>
      <c r="E102">
        <v>0.84348474720802602</v>
      </c>
      <c r="F102">
        <v>8</v>
      </c>
      <c r="G102" t="str">
        <f>VLOOKUP(A102,[1]inrix_key!$A:$C,3,FALSE)</f>
        <v>Pine_W</v>
      </c>
      <c r="H102">
        <f t="shared" si="1"/>
        <v>-0.15115384615384442</v>
      </c>
    </row>
    <row r="103" spans="1:8" x14ac:dyDescent="0.25">
      <c r="A103">
        <v>1187548975</v>
      </c>
      <c r="B103" t="s">
        <v>6</v>
      </c>
      <c r="C103">
        <v>-2.3923076923076801E-3</v>
      </c>
      <c r="D103">
        <v>-0.25806734541384801</v>
      </c>
      <c r="E103">
        <v>0.79912958828866298</v>
      </c>
      <c r="F103">
        <v>20</v>
      </c>
      <c r="G103" t="str">
        <f>VLOOKUP(A103,[1]inrix_key!$A:$C,3,FALSE)</f>
        <v>Pine_S</v>
      </c>
      <c r="H103">
        <f t="shared" si="1"/>
        <v>-0.14353846153846081</v>
      </c>
    </row>
    <row r="104" spans="1:8" x14ac:dyDescent="0.25">
      <c r="A104">
        <v>1187579027</v>
      </c>
      <c r="B104" t="s">
        <v>8</v>
      </c>
      <c r="C104">
        <v>-2.2548076923076801E-3</v>
      </c>
      <c r="D104">
        <v>-8.6729293952824402E-2</v>
      </c>
      <c r="E104">
        <v>0.93331545216714795</v>
      </c>
      <c r="F104">
        <v>8</v>
      </c>
      <c r="G104" t="str">
        <f>VLOOKUP(A104,[1]inrix_key!$A:$C,3,FALSE)</f>
        <v>Fairview_E</v>
      </c>
      <c r="H104">
        <f t="shared" si="1"/>
        <v>-0.1352884615384608</v>
      </c>
    </row>
    <row r="105" spans="1:8" x14ac:dyDescent="0.25">
      <c r="A105">
        <v>448725599</v>
      </c>
      <c r="B105" t="s">
        <v>8</v>
      </c>
      <c r="C105">
        <v>-2.22596153846152E-3</v>
      </c>
      <c r="D105">
        <v>-0.31566801150221502</v>
      </c>
      <c r="E105">
        <v>0.76145780566361299</v>
      </c>
      <c r="F105">
        <v>8</v>
      </c>
      <c r="G105" t="str">
        <f>VLOOKUP(A105,[1]inrix_key!$A:$C,3,FALSE)</f>
        <v>Chinden_S</v>
      </c>
      <c r="H105">
        <f t="shared" si="1"/>
        <v>-0.13355769230769121</v>
      </c>
    </row>
    <row r="106" spans="1:8" x14ac:dyDescent="0.25">
      <c r="A106">
        <v>448697011</v>
      </c>
      <c r="B106" t="s">
        <v>7</v>
      </c>
      <c r="C106">
        <v>-2.1791933298899199E-3</v>
      </c>
      <c r="D106">
        <v>-0.213668672218494</v>
      </c>
      <c r="E106">
        <v>0.83556743946591405</v>
      </c>
      <c r="F106">
        <v>10</v>
      </c>
      <c r="G106" t="str">
        <f>VLOOKUP(A106,[1]inrix_key!$A:$C,3,FALSE)</f>
        <v>Fairview_N</v>
      </c>
      <c r="H106">
        <f t="shared" si="1"/>
        <v>-0.13075159979339521</v>
      </c>
    </row>
    <row r="107" spans="1:8" x14ac:dyDescent="0.25">
      <c r="A107">
        <v>428958435</v>
      </c>
      <c r="B107" t="s">
        <v>7</v>
      </c>
      <c r="C107">
        <v>-2.1217170256643898E-3</v>
      </c>
      <c r="D107">
        <v>-0.59902156385371497</v>
      </c>
      <c r="E107">
        <v>0.56393038539353701</v>
      </c>
      <c r="F107">
        <v>10</v>
      </c>
      <c r="G107">
        <f>VLOOKUP(A107,[1]inrix_key!$A:$C,3,FALSE)</f>
        <v>0</v>
      </c>
      <c r="H107">
        <f t="shared" si="1"/>
        <v>-0.12730302153986339</v>
      </c>
    </row>
    <row r="108" spans="1:8" x14ac:dyDescent="0.25">
      <c r="A108">
        <v>1187466917</v>
      </c>
      <c r="B108" t="s">
        <v>9</v>
      </c>
      <c r="C108">
        <v>-2.0486248400722199E-3</v>
      </c>
      <c r="D108">
        <v>-0.196874726248744</v>
      </c>
      <c r="E108">
        <v>0.84601624906801798</v>
      </c>
      <c r="F108">
        <v>20</v>
      </c>
      <c r="G108" t="str">
        <f>VLOOKUP(A108,[1]inrix_key!$A:$C,3,FALSE)</f>
        <v>Colchester_S</v>
      </c>
      <c r="H108">
        <f t="shared" si="1"/>
        <v>-0.1229174904043332</v>
      </c>
    </row>
    <row r="109" spans="1:8" x14ac:dyDescent="0.25">
      <c r="A109">
        <v>428958433</v>
      </c>
      <c r="B109" t="s">
        <v>6</v>
      </c>
      <c r="C109">
        <v>-1.7923076923076801E-3</v>
      </c>
      <c r="D109">
        <v>-1.4995984370103399</v>
      </c>
      <c r="E109">
        <v>0.15015181918630799</v>
      </c>
      <c r="F109">
        <v>20</v>
      </c>
      <c r="G109" t="str">
        <f>VLOOKUP(A109,[1]inrix_key!$A:$C,3,FALSE)</f>
        <v>EB_S</v>
      </c>
      <c r="H109">
        <f t="shared" si="1"/>
        <v>-0.10753846153846081</v>
      </c>
    </row>
    <row r="110" spans="1:8" x14ac:dyDescent="0.25">
      <c r="A110">
        <v>484371307</v>
      </c>
      <c r="B110" t="s">
        <v>7</v>
      </c>
      <c r="C110">
        <v>-1.5416666666666699E-3</v>
      </c>
      <c r="D110">
        <v>-0.17191581849651499</v>
      </c>
      <c r="E110">
        <v>0.86730725062241598</v>
      </c>
      <c r="F110">
        <v>10</v>
      </c>
      <c r="G110" t="str">
        <f>VLOOKUP(A110,[1]inrix_key!$A:$C,3,FALSE)</f>
        <v>Pine_E</v>
      </c>
      <c r="H110">
        <f t="shared" si="1"/>
        <v>-9.2500000000000193E-2</v>
      </c>
    </row>
    <row r="111" spans="1:8" x14ac:dyDescent="0.25">
      <c r="A111">
        <v>448697011</v>
      </c>
      <c r="B111" t="s">
        <v>6</v>
      </c>
      <c r="C111">
        <v>-1.4211538461538001E-3</v>
      </c>
      <c r="D111">
        <v>-0.20928021294985899</v>
      </c>
      <c r="E111">
        <v>0.836457018287173</v>
      </c>
      <c r="F111">
        <v>20</v>
      </c>
      <c r="G111" t="str">
        <f>VLOOKUP(A111,[1]inrix_key!$A:$C,3,FALSE)</f>
        <v>Fairview_N</v>
      </c>
      <c r="H111">
        <f t="shared" si="1"/>
        <v>-8.5269230769228002E-2</v>
      </c>
    </row>
    <row r="112" spans="1:8" x14ac:dyDescent="0.25">
      <c r="A112">
        <v>428958433</v>
      </c>
      <c r="B112" t="s">
        <v>9</v>
      </c>
      <c r="C112">
        <v>-1.1035578456630999E-3</v>
      </c>
      <c r="D112">
        <v>-0.73983868096778305</v>
      </c>
      <c r="E112">
        <v>0.46844159595367402</v>
      </c>
      <c r="F112">
        <v>20</v>
      </c>
      <c r="G112" t="str">
        <f>VLOOKUP(A112,[1]inrix_key!$A:$C,3,FALSE)</f>
        <v>EB_S</v>
      </c>
      <c r="H112">
        <f t="shared" si="1"/>
        <v>-6.6213470739785993E-2</v>
      </c>
    </row>
    <row r="113" spans="1:8" x14ac:dyDescent="0.25">
      <c r="A113">
        <v>448697006</v>
      </c>
      <c r="B113" t="s">
        <v>7</v>
      </c>
      <c r="C113">
        <v>-1.0673490982701401E-3</v>
      </c>
      <c r="D113">
        <v>-0.11105941838899799</v>
      </c>
      <c r="E113">
        <v>0.91400652001318905</v>
      </c>
      <c r="F113">
        <v>10</v>
      </c>
      <c r="G113" t="str">
        <f>VLOOKUP(A113,[1]inrix_key!$A:$C,3,FALSE)</f>
        <v>StLukes_N</v>
      </c>
      <c r="H113">
        <f t="shared" si="1"/>
        <v>-6.4040945896208401E-2</v>
      </c>
    </row>
    <row r="114" spans="1:8" x14ac:dyDescent="0.25">
      <c r="A114">
        <v>1187548975</v>
      </c>
      <c r="B114" t="s">
        <v>7</v>
      </c>
      <c r="C114">
        <v>-9.1501006733203303E-4</v>
      </c>
      <c r="D114">
        <v>-0.102394961111858</v>
      </c>
      <c r="E114">
        <v>0.92068833005787298</v>
      </c>
      <c r="F114">
        <v>10</v>
      </c>
      <c r="G114" t="str">
        <f>VLOOKUP(A114,[1]inrix_key!$A:$C,3,FALSE)</f>
        <v>Pine_S</v>
      </c>
      <c r="H114">
        <f t="shared" si="1"/>
        <v>-5.4900604039921981E-2</v>
      </c>
    </row>
    <row r="115" spans="1:8" x14ac:dyDescent="0.25">
      <c r="A115">
        <v>484347992</v>
      </c>
      <c r="B115" t="s">
        <v>6</v>
      </c>
      <c r="C115">
        <v>-7.8582995951417096E-4</v>
      </c>
      <c r="D115">
        <v>-1.59253880263842</v>
      </c>
      <c r="E115">
        <v>0.12776423601737899</v>
      </c>
      <c r="F115">
        <v>20</v>
      </c>
      <c r="G115">
        <f>VLOOKUP(A115,[1]inrix_key!$A:$C,3,FALSE)</f>
        <v>0</v>
      </c>
      <c r="H115">
        <f t="shared" si="1"/>
        <v>-4.7149797570850256E-2</v>
      </c>
    </row>
    <row r="116" spans="1:8" x14ac:dyDescent="0.25">
      <c r="A116">
        <v>484347992</v>
      </c>
      <c r="B116" t="s">
        <v>9</v>
      </c>
      <c r="C116">
        <v>-5.4717716494032196E-4</v>
      </c>
      <c r="D116">
        <v>-0.86134775367092997</v>
      </c>
      <c r="E116">
        <v>0.39978671581791297</v>
      </c>
      <c r="F116">
        <v>20</v>
      </c>
      <c r="G116">
        <f>VLOOKUP(A116,[1]inrix_key!$A:$C,3,FALSE)</f>
        <v>0</v>
      </c>
      <c r="H116">
        <f t="shared" si="1"/>
        <v>-3.2830629896419321E-2</v>
      </c>
    </row>
    <row r="117" spans="1:8" x14ac:dyDescent="0.25">
      <c r="A117">
        <v>119241469</v>
      </c>
      <c r="B117" t="s">
        <v>6</v>
      </c>
      <c r="C117">
        <v>-5.3848872146084403E-4</v>
      </c>
      <c r="D117">
        <v>-6.4883545680336899E-2</v>
      </c>
      <c r="E117">
        <v>0.94894453666340395</v>
      </c>
      <c r="F117">
        <v>20</v>
      </c>
      <c r="G117" t="str">
        <f>VLOOKUP(A117,[1]inrix_key!$A:$C,3,FALSE)</f>
        <v>Colchester_W</v>
      </c>
      <c r="H117">
        <f t="shared" si="1"/>
        <v>-3.230932328765064E-2</v>
      </c>
    </row>
    <row r="118" spans="1:8" x14ac:dyDescent="0.25">
      <c r="A118">
        <v>448697008</v>
      </c>
      <c r="B118" t="s">
        <v>7</v>
      </c>
      <c r="C118">
        <v>-4.71895815742584E-4</v>
      </c>
      <c r="D118">
        <v>-0.11614301244375699</v>
      </c>
      <c r="E118">
        <v>0.91008946501080901</v>
      </c>
      <c r="F118">
        <v>10</v>
      </c>
      <c r="G118" t="str">
        <f>VLOOKUP(A118,[1]inrix_key!$A:$C,3,FALSE)</f>
        <v>RiverValley_S</v>
      </c>
      <c r="H118">
        <f t="shared" si="1"/>
        <v>-2.8313748944555042E-2</v>
      </c>
    </row>
    <row r="119" spans="1:8" x14ac:dyDescent="0.25">
      <c r="A119">
        <v>484371307</v>
      </c>
      <c r="B119" t="s">
        <v>6</v>
      </c>
      <c r="C119">
        <v>-2.3846153846154801E-4</v>
      </c>
      <c r="D119">
        <v>-0.121549493501811</v>
      </c>
      <c r="E119">
        <v>0.90453213956354395</v>
      </c>
      <c r="F119">
        <v>20</v>
      </c>
      <c r="G119" t="str">
        <f>VLOOKUP(A119,[1]inrix_key!$A:$C,3,FALSE)</f>
        <v>Pine_E</v>
      </c>
      <c r="H119">
        <f t="shared" si="1"/>
        <v>-1.430769230769288E-2</v>
      </c>
    </row>
    <row r="120" spans="1:8" x14ac:dyDescent="0.25">
      <c r="A120">
        <v>117772024</v>
      </c>
      <c r="B120" t="s">
        <v>9</v>
      </c>
      <c r="C120">
        <v>-2.2394010072030401E-4</v>
      </c>
      <c r="D120">
        <v>-2.0542709690053201E-2</v>
      </c>
      <c r="E120">
        <v>0.98390035275894905</v>
      </c>
      <c r="F120">
        <v>15</v>
      </c>
      <c r="G120" t="str">
        <f>VLOOKUP(A120,[1]inrix_key!$A:$C,3,FALSE)</f>
        <v>IslandWood_W</v>
      </c>
      <c r="H120">
        <f t="shared" si="1"/>
        <v>-1.3436406043218239E-2</v>
      </c>
    </row>
    <row r="121" spans="1:8" x14ac:dyDescent="0.25">
      <c r="A121">
        <v>448695752</v>
      </c>
      <c r="B121" t="s">
        <v>6</v>
      </c>
      <c r="C121">
        <v>-1.2500000000002499E-4</v>
      </c>
      <c r="D121">
        <v>-2.8269872158591301E-2</v>
      </c>
      <c r="E121">
        <v>0.977741738156647</v>
      </c>
      <c r="F121">
        <v>20</v>
      </c>
      <c r="G121" t="str">
        <f>VLOOKUP(A121,[1]inrix_key!$A:$C,3,FALSE)</f>
        <v>IslandWood_N</v>
      </c>
      <c r="H121">
        <f t="shared" si="1"/>
        <v>-7.5000000000014994E-3</v>
      </c>
    </row>
    <row r="122" spans="1:8" x14ac:dyDescent="0.25">
      <c r="A122">
        <v>428958434</v>
      </c>
      <c r="B122" t="s">
        <v>9</v>
      </c>
      <c r="C122" s="1">
        <v>5.6232422118637699E-5</v>
      </c>
      <c r="D122">
        <v>7.2442508884454004E-3</v>
      </c>
      <c r="E122">
        <v>0.99429549750805502</v>
      </c>
      <c r="F122">
        <v>20</v>
      </c>
      <c r="G122">
        <f>VLOOKUP(A122,[1]inrix_key!$A:$C,3,FALSE)</f>
        <v>0</v>
      </c>
      <c r="H122">
        <f t="shared" si="1"/>
        <v>3.3739453271182619E-3</v>
      </c>
    </row>
    <row r="123" spans="1:8" x14ac:dyDescent="0.25">
      <c r="A123">
        <v>428958433</v>
      </c>
      <c r="B123" t="s">
        <v>7</v>
      </c>
      <c r="C123">
        <v>1.8048530416951399E-4</v>
      </c>
      <c r="D123">
        <v>0.25471491774386701</v>
      </c>
      <c r="E123">
        <v>0.80466802394415804</v>
      </c>
      <c r="F123">
        <v>10</v>
      </c>
      <c r="G123" t="str">
        <f>VLOOKUP(A123,[1]inrix_key!$A:$C,3,FALSE)</f>
        <v>EB_S</v>
      </c>
      <c r="H123">
        <f t="shared" si="1"/>
        <v>1.0829118250170839E-2</v>
      </c>
    </row>
    <row r="124" spans="1:8" x14ac:dyDescent="0.25">
      <c r="A124">
        <v>484347992</v>
      </c>
      <c r="B124" t="s">
        <v>8</v>
      </c>
      <c r="C124">
        <v>2.6442307692307502E-4</v>
      </c>
      <c r="D124">
        <v>0.37489392600072902</v>
      </c>
      <c r="E124">
        <v>0.71883949413274095</v>
      </c>
      <c r="F124">
        <v>8</v>
      </c>
      <c r="G124">
        <f>VLOOKUP(A124,[1]inrix_key!$A:$C,3,FALSE)</f>
        <v>0</v>
      </c>
      <c r="H124">
        <f t="shared" si="1"/>
        <v>1.58653846153845E-2</v>
      </c>
    </row>
    <row r="125" spans="1:8" x14ac:dyDescent="0.25">
      <c r="A125">
        <v>428958435</v>
      </c>
      <c r="B125" t="s">
        <v>6</v>
      </c>
      <c r="C125">
        <v>6.8076923076922297E-4</v>
      </c>
      <c r="D125">
        <v>0.106779084474634</v>
      </c>
      <c r="E125">
        <v>0.91608364537326104</v>
      </c>
      <c r="F125">
        <v>20</v>
      </c>
      <c r="G125">
        <f>VLOOKUP(A125,[1]inrix_key!$A:$C,3,FALSE)</f>
        <v>0</v>
      </c>
      <c r="H125">
        <f t="shared" si="1"/>
        <v>4.084615384615338E-2</v>
      </c>
    </row>
    <row r="126" spans="1:8" x14ac:dyDescent="0.25">
      <c r="A126">
        <v>484347992</v>
      </c>
      <c r="B126" t="s">
        <v>7</v>
      </c>
      <c r="C126">
        <v>1.0011544011544E-3</v>
      </c>
      <c r="D126">
        <v>0.62647180680211401</v>
      </c>
      <c r="E126">
        <v>0.54656480112802497</v>
      </c>
      <c r="F126">
        <v>10</v>
      </c>
      <c r="G126">
        <f>VLOOKUP(A126,[1]inrix_key!$A:$C,3,FALSE)</f>
        <v>0</v>
      </c>
      <c r="H126">
        <f t="shared" si="1"/>
        <v>6.0069264069264001E-2</v>
      </c>
    </row>
    <row r="127" spans="1:8" x14ac:dyDescent="0.25">
      <c r="A127">
        <v>1187466896</v>
      </c>
      <c r="B127" t="s">
        <v>9</v>
      </c>
      <c r="C127">
        <v>1.1271646482172799E-3</v>
      </c>
      <c r="D127">
        <v>0.10590866494040301</v>
      </c>
      <c r="E127">
        <v>0.91676499920524701</v>
      </c>
      <c r="F127">
        <v>20</v>
      </c>
      <c r="G127" t="str">
        <f>VLOOKUP(A127,[1]inrix_key!$A:$C,3,FALSE)</f>
        <v>IslandWood_S</v>
      </c>
      <c r="H127">
        <f t="shared" si="1"/>
        <v>6.7629878893036802E-2</v>
      </c>
    </row>
    <row r="128" spans="1:8" x14ac:dyDescent="0.25">
      <c r="A128">
        <v>474871675</v>
      </c>
      <c r="B128" t="s">
        <v>8</v>
      </c>
      <c r="C128">
        <v>1.5144230769230499E-3</v>
      </c>
      <c r="D128">
        <v>0.241714747317262</v>
      </c>
      <c r="E128">
        <v>0.81592939532991304</v>
      </c>
      <c r="F128">
        <v>8</v>
      </c>
      <c r="G128" t="str">
        <f>VLOOKUP(A128,[1]inrix_key!$A:$C,3,FALSE)</f>
        <v>McMillan_E</v>
      </c>
      <c r="H128">
        <f t="shared" si="1"/>
        <v>9.0865384615383002E-2</v>
      </c>
    </row>
    <row r="129" spans="1:8" x14ac:dyDescent="0.25">
      <c r="A129">
        <v>474871675</v>
      </c>
      <c r="B129" t="s">
        <v>6</v>
      </c>
      <c r="C129">
        <v>1.55961538461536E-3</v>
      </c>
      <c r="D129">
        <v>0.152333528812685</v>
      </c>
      <c r="E129">
        <v>0.88052989649949298</v>
      </c>
      <c r="F129">
        <v>20</v>
      </c>
      <c r="G129" t="str">
        <f>VLOOKUP(A129,[1]inrix_key!$A:$C,3,FALSE)</f>
        <v>McMillan_E</v>
      </c>
      <c r="H129">
        <f t="shared" si="1"/>
        <v>9.35769230769216E-2</v>
      </c>
    </row>
    <row r="130" spans="1:8" x14ac:dyDescent="0.25">
      <c r="A130">
        <v>1187548947</v>
      </c>
      <c r="B130" t="s">
        <v>9</v>
      </c>
      <c r="C130">
        <v>1.8594679228580201E-3</v>
      </c>
      <c r="D130">
        <v>0.22076152309059599</v>
      </c>
      <c r="E130">
        <v>0.82763308480173003</v>
      </c>
      <c r="F130">
        <v>20</v>
      </c>
      <c r="G130" t="str">
        <f>VLOOKUP(A130,[1]inrix_key!$A:$C,3,FALSE)</f>
        <v>Fairview_S</v>
      </c>
      <c r="H130">
        <f t="shared" ref="H130:H193" si="2">60*C130</f>
        <v>0.11156807537148121</v>
      </c>
    </row>
    <row r="131" spans="1:8" x14ac:dyDescent="0.25">
      <c r="A131">
        <v>1187579027</v>
      </c>
      <c r="B131" t="s">
        <v>6</v>
      </c>
      <c r="C131">
        <v>2.2615384615384398E-3</v>
      </c>
      <c r="D131">
        <v>0.27133475825289799</v>
      </c>
      <c r="E131">
        <v>0.78905968351360001</v>
      </c>
      <c r="F131">
        <v>20</v>
      </c>
      <c r="G131" t="str">
        <f>VLOOKUP(A131,[1]inrix_key!$A:$C,3,FALSE)</f>
        <v>Fairview_E</v>
      </c>
      <c r="H131">
        <f t="shared" si="2"/>
        <v>0.13569230769230639</v>
      </c>
    </row>
    <row r="132" spans="1:8" x14ac:dyDescent="0.25">
      <c r="A132">
        <v>384121516</v>
      </c>
      <c r="B132" t="s">
        <v>6</v>
      </c>
      <c r="C132">
        <v>2.4538461538461398E-3</v>
      </c>
      <c r="D132">
        <v>0.406148968276351</v>
      </c>
      <c r="E132">
        <v>0.68917105136009804</v>
      </c>
      <c r="F132">
        <v>20</v>
      </c>
      <c r="G132" t="str">
        <f>VLOOKUP(A132,[1]inrix_key!$A:$C,3,FALSE)</f>
        <v>McMillan_W</v>
      </c>
      <c r="H132">
        <f t="shared" si="2"/>
        <v>0.14723076923076839</v>
      </c>
    </row>
    <row r="133" spans="1:8" x14ac:dyDescent="0.25">
      <c r="A133">
        <v>448697009</v>
      </c>
      <c r="B133" t="s">
        <v>7</v>
      </c>
      <c r="C133">
        <v>2.7223624973238001E-3</v>
      </c>
      <c r="D133">
        <v>0.43901250587449198</v>
      </c>
      <c r="E133">
        <v>0.67100322092179099</v>
      </c>
      <c r="F133">
        <v>10</v>
      </c>
      <c r="G133" t="str">
        <f>VLOOKUP(A133,[1]inrix_key!$A:$C,3,FALSE)</f>
        <v>Ustick_S</v>
      </c>
      <c r="H133">
        <f t="shared" si="2"/>
        <v>0.16334174983942801</v>
      </c>
    </row>
    <row r="134" spans="1:8" x14ac:dyDescent="0.25">
      <c r="A134">
        <v>448725596</v>
      </c>
      <c r="B134" t="s">
        <v>7</v>
      </c>
      <c r="C134">
        <v>2.8587608298134598E-3</v>
      </c>
      <c r="D134">
        <v>0.53697973597722903</v>
      </c>
      <c r="E134">
        <v>0.60430080121246299</v>
      </c>
      <c r="F134">
        <v>10</v>
      </c>
      <c r="G134" t="str">
        <f>VLOOKUP(A134,[1]inrix_key!$A:$C,3,FALSE)</f>
        <v>Franklin_S</v>
      </c>
      <c r="H134">
        <f t="shared" si="2"/>
        <v>0.17152564978880758</v>
      </c>
    </row>
    <row r="135" spans="1:8" x14ac:dyDescent="0.25">
      <c r="A135">
        <v>428958434</v>
      </c>
      <c r="B135" t="s">
        <v>6</v>
      </c>
      <c r="C135">
        <v>3.29999999999999E-3</v>
      </c>
      <c r="D135">
        <v>0.41623923868063101</v>
      </c>
      <c r="E135">
        <v>0.68189907057669297</v>
      </c>
      <c r="F135">
        <v>20</v>
      </c>
      <c r="G135">
        <f>VLOOKUP(A135,[1]inrix_key!$A:$C,3,FALSE)</f>
        <v>0</v>
      </c>
      <c r="H135">
        <f t="shared" si="2"/>
        <v>0.1979999999999994</v>
      </c>
    </row>
    <row r="136" spans="1:8" x14ac:dyDescent="0.25">
      <c r="A136">
        <v>448695752</v>
      </c>
      <c r="B136" t="s">
        <v>9</v>
      </c>
      <c r="C136">
        <v>3.5254342514210702E-3</v>
      </c>
      <c r="D136">
        <v>0.56064577712788</v>
      </c>
      <c r="E136">
        <v>0.58159080948503605</v>
      </c>
      <c r="F136">
        <v>20</v>
      </c>
      <c r="G136" t="str">
        <f>VLOOKUP(A136,[1]inrix_key!$A:$C,3,FALSE)</f>
        <v>IslandWood_N</v>
      </c>
      <c r="H136">
        <f t="shared" si="2"/>
        <v>0.2115260550852642</v>
      </c>
    </row>
    <row r="137" spans="1:8" x14ac:dyDescent="0.25">
      <c r="A137">
        <v>484366819</v>
      </c>
      <c r="B137" t="s">
        <v>8</v>
      </c>
      <c r="C137">
        <v>3.5817307692307702E-3</v>
      </c>
      <c r="D137">
        <v>1.1058095858602499</v>
      </c>
      <c r="E137">
        <v>0.30535961847854398</v>
      </c>
      <c r="F137">
        <v>8</v>
      </c>
      <c r="G137" t="str">
        <f>VLOOKUP(A137,[1]inrix_key!$A:$C,3,FALSE)</f>
        <v>Pine_E</v>
      </c>
      <c r="H137">
        <f t="shared" si="2"/>
        <v>0.21490384615384622</v>
      </c>
    </row>
    <row r="138" spans="1:8" x14ac:dyDescent="0.25">
      <c r="A138">
        <v>1187579027</v>
      </c>
      <c r="B138" t="s">
        <v>9</v>
      </c>
      <c r="C138">
        <v>3.6098456883673501E-3</v>
      </c>
      <c r="D138">
        <v>0.317716119694197</v>
      </c>
      <c r="E138">
        <v>0.75416555834365995</v>
      </c>
      <c r="F138">
        <v>20</v>
      </c>
      <c r="G138" t="str">
        <f>VLOOKUP(A138,[1]inrix_key!$A:$C,3,FALSE)</f>
        <v>Fairview_E</v>
      </c>
      <c r="H138">
        <f t="shared" si="2"/>
        <v>0.21659074130204101</v>
      </c>
    </row>
    <row r="139" spans="1:8" x14ac:dyDescent="0.25">
      <c r="A139">
        <v>1187333605</v>
      </c>
      <c r="B139" t="s">
        <v>9</v>
      </c>
      <c r="C139">
        <v>3.99532302063262E-3</v>
      </c>
      <c r="D139">
        <v>0.28480714722848399</v>
      </c>
      <c r="E139">
        <v>0.77887303445408795</v>
      </c>
      <c r="F139">
        <v>20</v>
      </c>
      <c r="G139" t="str">
        <f>VLOOKUP(A139,[1]inrix_key!$A:$C,3,FALSE)</f>
        <v>Colchester_N</v>
      </c>
      <c r="H139">
        <f t="shared" si="2"/>
        <v>0.23971938123795719</v>
      </c>
    </row>
    <row r="140" spans="1:8" x14ac:dyDescent="0.25">
      <c r="A140">
        <v>448697011</v>
      </c>
      <c r="B140" t="s">
        <v>9</v>
      </c>
      <c r="C140">
        <v>4.0220350555876996E-3</v>
      </c>
      <c r="D140">
        <v>0.66698265213621999</v>
      </c>
      <c r="E140">
        <v>0.51280260585886195</v>
      </c>
      <c r="F140">
        <v>20</v>
      </c>
      <c r="G140" t="str">
        <f>VLOOKUP(A140,[1]inrix_key!$A:$C,3,FALSE)</f>
        <v>Fairview_N</v>
      </c>
      <c r="H140">
        <f t="shared" si="2"/>
        <v>0.24132210333526197</v>
      </c>
    </row>
    <row r="141" spans="1:8" x14ac:dyDescent="0.25">
      <c r="A141">
        <v>428958433</v>
      </c>
      <c r="B141" t="s">
        <v>8</v>
      </c>
      <c r="C141">
        <v>4.41826923076923E-3</v>
      </c>
      <c r="D141">
        <v>2.8527895712515701</v>
      </c>
      <c r="E141">
        <v>2.45900377531376E-2</v>
      </c>
      <c r="F141">
        <v>8</v>
      </c>
      <c r="G141" t="str">
        <f>VLOOKUP(A141,[1]inrix_key!$A:$C,3,FALSE)</f>
        <v>EB_S</v>
      </c>
      <c r="H141">
        <f t="shared" si="2"/>
        <v>0.26509615384615381</v>
      </c>
    </row>
    <row r="142" spans="1:8" x14ac:dyDescent="0.25">
      <c r="A142">
        <v>1187636735</v>
      </c>
      <c r="B142" t="s">
        <v>6</v>
      </c>
      <c r="C142">
        <v>5.2576923076923E-3</v>
      </c>
      <c r="D142">
        <v>1.1239854726276499</v>
      </c>
      <c r="E142">
        <v>0.27502006081700597</v>
      </c>
      <c r="F142">
        <v>20</v>
      </c>
      <c r="G142" t="str">
        <f>VLOOKUP(A142,[1]inrix_key!$A:$C,3,FALSE)</f>
        <v>WB_E</v>
      </c>
      <c r="H142">
        <f t="shared" si="2"/>
        <v>0.31546153846153802</v>
      </c>
    </row>
    <row r="143" spans="1:8" x14ac:dyDescent="0.25">
      <c r="A143">
        <v>484371307</v>
      </c>
      <c r="B143" t="s">
        <v>8</v>
      </c>
      <c r="C143">
        <v>5.6826923076922801E-3</v>
      </c>
      <c r="D143">
        <v>2.4716662073509501</v>
      </c>
      <c r="E143">
        <v>4.2728549009658598E-2</v>
      </c>
      <c r="F143">
        <v>8</v>
      </c>
      <c r="G143" t="str">
        <f>VLOOKUP(A143,[1]inrix_key!$A:$C,3,FALSE)</f>
        <v>Pine_E</v>
      </c>
      <c r="H143">
        <f t="shared" si="2"/>
        <v>0.34096153846153682</v>
      </c>
    </row>
    <row r="144" spans="1:8" x14ac:dyDescent="0.25">
      <c r="A144">
        <v>448725595</v>
      </c>
      <c r="B144" t="s">
        <v>7</v>
      </c>
      <c r="C144">
        <v>6.2889832389832296E-3</v>
      </c>
      <c r="D144">
        <v>1.32330644645633</v>
      </c>
      <c r="E144">
        <v>0.21836351319686101</v>
      </c>
      <c r="F144">
        <v>10</v>
      </c>
      <c r="G144" t="str">
        <f>VLOOKUP(A144,[1]inrix_key!$A:$C,3,FALSE)</f>
        <v>StLukes_S</v>
      </c>
      <c r="H144">
        <f t="shared" si="2"/>
        <v>0.37733899433899376</v>
      </c>
    </row>
    <row r="145" spans="1:8" x14ac:dyDescent="0.25">
      <c r="A145">
        <v>448695752</v>
      </c>
      <c r="B145" t="s">
        <v>7</v>
      </c>
      <c r="C145">
        <v>9.3095238095238196E-3</v>
      </c>
      <c r="D145">
        <v>0.96749691960631601</v>
      </c>
      <c r="E145">
        <v>0.35857385373255402</v>
      </c>
      <c r="F145">
        <v>10</v>
      </c>
      <c r="G145" t="str">
        <f>VLOOKUP(A145,[1]inrix_key!$A:$C,3,FALSE)</f>
        <v>IslandWood_N</v>
      </c>
      <c r="H145">
        <f t="shared" si="2"/>
        <v>0.55857142857142916</v>
      </c>
    </row>
    <row r="146" spans="1:8" x14ac:dyDescent="0.25">
      <c r="A146">
        <v>448695752</v>
      </c>
      <c r="B146" t="s">
        <v>8</v>
      </c>
      <c r="C146">
        <v>9.4807692307692492E-3</v>
      </c>
      <c r="D146">
        <v>2.3915017482360499</v>
      </c>
      <c r="E146">
        <v>4.8062610616503298E-2</v>
      </c>
      <c r="F146">
        <v>8</v>
      </c>
      <c r="G146" t="str">
        <f>VLOOKUP(A146,[1]inrix_key!$A:$C,3,FALSE)</f>
        <v>IslandWood_N</v>
      </c>
      <c r="H146">
        <f t="shared" si="2"/>
        <v>0.568846153846155</v>
      </c>
    </row>
    <row r="147" spans="1:8" x14ac:dyDescent="0.25">
      <c r="A147">
        <v>448697009</v>
      </c>
      <c r="B147" t="s">
        <v>6</v>
      </c>
      <c r="C147">
        <v>9.5596153846154094E-3</v>
      </c>
      <c r="D147">
        <v>0.71670782981787595</v>
      </c>
      <c r="E147">
        <v>0.48227230859594999</v>
      </c>
      <c r="F147">
        <v>20</v>
      </c>
      <c r="G147" t="str">
        <f>VLOOKUP(A147,[1]inrix_key!$A:$C,3,FALSE)</f>
        <v>Ustick_S</v>
      </c>
      <c r="H147">
        <f t="shared" si="2"/>
        <v>0.57357692307692454</v>
      </c>
    </row>
    <row r="148" spans="1:8" x14ac:dyDescent="0.25">
      <c r="A148">
        <v>1187549053</v>
      </c>
      <c r="B148" t="s">
        <v>6</v>
      </c>
      <c r="C148">
        <v>9.6250000000000207E-3</v>
      </c>
      <c r="D148">
        <v>0.80869678912149501</v>
      </c>
      <c r="E148">
        <v>0.428700218142753</v>
      </c>
      <c r="F148">
        <v>20</v>
      </c>
      <c r="G148" t="str">
        <f>VLOOKUP(A148,[1]inrix_key!$A:$C,3,FALSE)</f>
        <v>HobbleCreek_S</v>
      </c>
      <c r="H148">
        <f t="shared" si="2"/>
        <v>0.57750000000000123</v>
      </c>
    </row>
    <row r="149" spans="1:8" x14ac:dyDescent="0.25">
      <c r="A149">
        <v>448697010</v>
      </c>
      <c r="B149" t="s">
        <v>8</v>
      </c>
      <c r="C149">
        <v>9.7451923076923106E-3</v>
      </c>
      <c r="D149">
        <v>1.49599403878207</v>
      </c>
      <c r="E149">
        <v>0.178312728824225</v>
      </c>
      <c r="F149">
        <v>8</v>
      </c>
      <c r="G149" t="str">
        <f>VLOOKUP(A149,[1]inrix_key!$A:$C,3,FALSE)</f>
        <v>RiverValley_N</v>
      </c>
      <c r="H149">
        <f t="shared" si="2"/>
        <v>0.58471153846153867</v>
      </c>
    </row>
    <row r="150" spans="1:8" x14ac:dyDescent="0.25">
      <c r="A150">
        <v>119269713</v>
      </c>
      <c r="B150" t="s">
        <v>8</v>
      </c>
      <c r="C150">
        <v>1.00867914979757E-2</v>
      </c>
      <c r="D150">
        <v>1.3035367265144799</v>
      </c>
      <c r="E150">
        <v>0.233623702909388</v>
      </c>
      <c r="F150">
        <v>8</v>
      </c>
      <c r="G150" t="str">
        <f>VLOOKUP(A150,[1]inrix_key!$A:$C,3,FALSE)</f>
        <v>Colchester_E</v>
      </c>
      <c r="H150">
        <f t="shared" si="2"/>
        <v>0.605207489878542</v>
      </c>
    </row>
    <row r="151" spans="1:8" x14ac:dyDescent="0.25">
      <c r="A151">
        <v>1187635580</v>
      </c>
      <c r="B151" t="s">
        <v>6</v>
      </c>
      <c r="C151">
        <v>1.1703846153846099E-2</v>
      </c>
      <c r="D151">
        <v>1.50786681783756</v>
      </c>
      <c r="E151">
        <v>0.1480368395594</v>
      </c>
      <c r="F151">
        <v>20</v>
      </c>
      <c r="G151" t="str">
        <f>VLOOKUP(A151,[1]inrix_key!$A:$C,3,FALSE)</f>
        <v>WB_S</v>
      </c>
      <c r="H151">
        <f t="shared" si="2"/>
        <v>0.70223076923076599</v>
      </c>
    </row>
    <row r="152" spans="1:8" x14ac:dyDescent="0.25">
      <c r="A152">
        <v>119269713</v>
      </c>
      <c r="B152" t="s">
        <v>6</v>
      </c>
      <c r="C152">
        <v>1.1924717826033601E-2</v>
      </c>
      <c r="D152">
        <v>1.14277626103761</v>
      </c>
      <c r="E152">
        <v>0.267327737427423</v>
      </c>
      <c r="F152">
        <v>20</v>
      </c>
      <c r="G152" t="str">
        <f>VLOOKUP(A152,[1]inrix_key!$A:$C,3,FALSE)</f>
        <v>Colchester_E</v>
      </c>
      <c r="H152">
        <f t="shared" si="2"/>
        <v>0.71548306956201602</v>
      </c>
    </row>
    <row r="153" spans="1:8" x14ac:dyDescent="0.25">
      <c r="A153">
        <v>1187548947</v>
      </c>
      <c r="B153" t="s">
        <v>7</v>
      </c>
      <c r="C153">
        <v>1.1934400927589701E-2</v>
      </c>
      <c r="D153">
        <v>1.7216363713523799</v>
      </c>
      <c r="E153">
        <v>0.11923925101128401</v>
      </c>
      <c r="F153">
        <v>10</v>
      </c>
      <c r="G153" t="str">
        <f>VLOOKUP(A153,[1]inrix_key!$A:$C,3,FALSE)</f>
        <v>Fairview_S</v>
      </c>
      <c r="H153">
        <f t="shared" si="2"/>
        <v>0.716064055655382</v>
      </c>
    </row>
    <row r="154" spans="1:8" x14ac:dyDescent="0.25">
      <c r="A154">
        <v>384139881</v>
      </c>
      <c r="B154" t="s">
        <v>6</v>
      </c>
      <c r="C154">
        <v>1.19846153846153E-2</v>
      </c>
      <c r="D154">
        <v>1.86656649849239</v>
      </c>
      <c r="E154">
        <v>7.7473391100434302E-2</v>
      </c>
      <c r="F154">
        <v>20</v>
      </c>
      <c r="G154" t="str">
        <f>VLOOKUP(A154,[1]inrix_key!$A:$C,3,FALSE)</f>
        <v>Pine_W</v>
      </c>
      <c r="H154">
        <f t="shared" si="2"/>
        <v>0.71907692307691806</v>
      </c>
    </row>
    <row r="155" spans="1:8" x14ac:dyDescent="0.25">
      <c r="A155">
        <v>1187377510</v>
      </c>
      <c r="B155" t="s">
        <v>8</v>
      </c>
      <c r="C155">
        <v>1.37692307692307E-2</v>
      </c>
      <c r="D155">
        <v>2.8477153214677502</v>
      </c>
      <c r="E155">
        <v>2.4769340313678199E-2</v>
      </c>
      <c r="F155">
        <v>8</v>
      </c>
      <c r="G155" t="str">
        <f>VLOOKUP(A155,[1]inrix_key!$A:$C,3,FALSE)</f>
        <v>EB_S</v>
      </c>
      <c r="H155">
        <f t="shared" si="2"/>
        <v>0.82615384615384202</v>
      </c>
    </row>
    <row r="156" spans="1:8" x14ac:dyDescent="0.25">
      <c r="A156">
        <v>1187548947</v>
      </c>
      <c r="B156" t="s">
        <v>8</v>
      </c>
      <c r="C156">
        <v>1.3947115384615299E-2</v>
      </c>
      <c r="D156">
        <v>0.72902229922608397</v>
      </c>
      <c r="E156">
        <v>0.48965519055329998</v>
      </c>
      <c r="F156">
        <v>8</v>
      </c>
      <c r="G156" t="str">
        <f>VLOOKUP(A156,[1]inrix_key!$A:$C,3,FALSE)</f>
        <v>Fairview_S</v>
      </c>
      <c r="H156">
        <f t="shared" si="2"/>
        <v>0.83682692307691797</v>
      </c>
    </row>
    <row r="157" spans="1:8" x14ac:dyDescent="0.25">
      <c r="A157">
        <v>1187654588</v>
      </c>
      <c r="B157" t="s">
        <v>7</v>
      </c>
      <c r="C157">
        <v>1.47074627857522E-2</v>
      </c>
      <c r="D157">
        <v>1.22287004404528</v>
      </c>
      <c r="E157">
        <v>0.25243338762548201</v>
      </c>
      <c r="F157">
        <v>10</v>
      </c>
      <c r="G157" t="str">
        <f>VLOOKUP(A157,[1]inrix_key!$A:$C,3,FALSE)</f>
        <v>Franklin_N</v>
      </c>
      <c r="H157">
        <f t="shared" si="2"/>
        <v>0.88244776714513207</v>
      </c>
    </row>
    <row r="158" spans="1:8" x14ac:dyDescent="0.25">
      <c r="A158">
        <v>1187635580</v>
      </c>
      <c r="B158" t="s">
        <v>7</v>
      </c>
      <c r="C158">
        <v>1.7020937249884599E-2</v>
      </c>
      <c r="D158">
        <v>2.9764493511557899</v>
      </c>
      <c r="E158">
        <v>1.5538875794776899E-2</v>
      </c>
      <c r="F158">
        <v>10</v>
      </c>
      <c r="G158" t="str">
        <f>VLOOKUP(A158,[1]inrix_key!$A:$C,3,FALSE)</f>
        <v>WB_S</v>
      </c>
      <c r="H158">
        <f t="shared" si="2"/>
        <v>1.0212562349930758</v>
      </c>
    </row>
    <row r="159" spans="1:8" x14ac:dyDescent="0.25">
      <c r="A159">
        <v>1187532837</v>
      </c>
      <c r="B159" t="s">
        <v>6</v>
      </c>
      <c r="C159">
        <v>1.72692307692307E-2</v>
      </c>
      <c r="D159">
        <v>1.65000464859072</v>
      </c>
      <c r="E159">
        <v>0.115376323284147</v>
      </c>
      <c r="F159">
        <v>20</v>
      </c>
      <c r="G159" t="str">
        <f>VLOOKUP(A159,[1]inrix_key!$A:$C,3,FALSE)</f>
        <v>HobbleCreek_N</v>
      </c>
      <c r="H159">
        <f t="shared" si="2"/>
        <v>1.036153846153842</v>
      </c>
    </row>
    <row r="160" spans="1:8" x14ac:dyDescent="0.25">
      <c r="A160">
        <v>448695753</v>
      </c>
      <c r="B160" t="s">
        <v>6</v>
      </c>
      <c r="C160">
        <v>1.8805769230769199E-2</v>
      </c>
      <c r="D160">
        <v>1.65549137474134</v>
      </c>
      <c r="E160">
        <v>0.114248694272596</v>
      </c>
      <c r="F160">
        <v>20</v>
      </c>
      <c r="G160" t="str">
        <f>VLOOKUP(A160,[1]inrix_key!$A:$C,3,FALSE)</f>
        <v>Riverside_S</v>
      </c>
      <c r="H160">
        <f t="shared" si="2"/>
        <v>1.1283461538461519</v>
      </c>
    </row>
    <row r="161" spans="1:8" x14ac:dyDescent="0.25">
      <c r="A161">
        <v>448695751</v>
      </c>
      <c r="B161" t="s">
        <v>6</v>
      </c>
      <c r="C161">
        <v>2.23211538461538E-2</v>
      </c>
      <c r="D161">
        <v>3.6201975039285199</v>
      </c>
      <c r="E161">
        <v>1.8227138930385701E-3</v>
      </c>
      <c r="F161">
        <v>20</v>
      </c>
      <c r="G161" t="str">
        <f>VLOOKUP(A161,[1]inrix_key!$A:$C,3,FALSE)</f>
        <v>Riverside_N</v>
      </c>
      <c r="H161">
        <f t="shared" si="2"/>
        <v>1.339269230769228</v>
      </c>
    </row>
    <row r="162" spans="1:8" x14ac:dyDescent="0.25">
      <c r="A162">
        <v>428958434</v>
      </c>
      <c r="B162" t="s">
        <v>7</v>
      </c>
      <c r="C162">
        <v>2.2433438220705999E-2</v>
      </c>
      <c r="D162">
        <v>4.3485337723717699</v>
      </c>
      <c r="E162">
        <v>1.8542178590684299E-3</v>
      </c>
      <c r="F162">
        <v>10</v>
      </c>
      <c r="G162">
        <f>VLOOKUP(A162,[1]inrix_key!$A:$C,3,FALSE)</f>
        <v>0</v>
      </c>
      <c r="H162">
        <f t="shared" si="2"/>
        <v>1.34600629324236</v>
      </c>
    </row>
    <row r="163" spans="1:8" x14ac:dyDescent="0.25">
      <c r="A163">
        <v>1187654609</v>
      </c>
      <c r="B163" t="s">
        <v>7</v>
      </c>
      <c r="C163">
        <v>2.3083130904183499E-2</v>
      </c>
      <c r="D163">
        <v>2.6924717476422702</v>
      </c>
      <c r="E163">
        <v>2.4696328257779399E-2</v>
      </c>
      <c r="F163">
        <v>10</v>
      </c>
      <c r="G163" t="str">
        <f>VLOOKUP(A163,[1]inrix_key!$A:$C,3,FALSE)</f>
        <v>Pine_N</v>
      </c>
      <c r="H163">
        <f t="shared" si="2"/>
        <v>1.3849878542510099</v>
      </c>
    </row>
    <row r="164" spans="1:8" x14ac:dyDescent="0.25">
      <c r="A164">
        <v>448695754</v>
      </c>
      <c r="B164" t="s">
        <v>6</v>
      </c>
      <c r="C164">
        <v>2.56884615384615E-2</v>
      </c>
      <c r="D164">
        <v>3.2695630654762402</v>
      </c>
      <c r="E164">
        <v>4.0323865339666797E-3</v>
      </c>
      <c r="F164">
        <v>20</v>
      </c>
      <c r="G164" t="str">
        <f>VLOOKUP(A164,[1]inrix_key!$A:$C,3,FALSE)</f>
        <v>State_S</v>
      </c>
      <c r="H164">
        <f t="shared" si="2"/>
        <v>1.54130769230769</v>
      </c>
    </row>
    <row r="165" spans="1:8" x14ac:dyDescent="0.25">
      <c r="A165">
        <v>1187549053</v>
      </c>
      <c r="B165" t="s">
        <v>8</v>
      </c>
      <c r="C165">
        <v>2.62836538461538E-2</v>
      </c>
      <c r="D165">
        <v>3.7876079731923098</v>
      </c>
      <c r="E165">
        <v>6.82416421579537E-3</v>
      </c>
      <c r="F165">
        <v>8</v>
      </c>
      <c r="G165" t="str">
        <f>VLOOKUP(A165,[1]inrix_key!$A:$C,3,FALSE)</f>
        <v>HobbleCreek_S</v>
      </c>
      <c r="H165">
        <f t="shared" si="2"/>
        <v>1.5770192307692281</v>
      </c>
    </row>
    <row r="166" spans="1:8" x14ac:dyDescent="0.25">
      <c r="A166">
        <v>1187466896</v>
      </c>
      <c r="B166" t="s">
        <v>6</v>
      </c>
      <c r="C166">
        <v>2.6644230769230701E-2</v>
      </c>
      <c r="D166">
        <v>1.3554963553663399</v>
      </c>
      <c r="E166">
        <v>0.191154835109725</v>
      </c>
      <c r="F166">
        <v>20</v>
      </c>
      <c r="G166" t="str">
        <f>VLOOKUP(A166,[1]inrix_key!$A:$C,3,FALSE)</f>
        <v>IslandWood_S</v>
      </c>
      <c r="H166">
        <f t="shared" si="2"/>
        <v>1.598653846153842</v>
      </c>
    </row>
    <row r="167" spans="1:8" x14ac:dyDescent="0.25">
      <c r="A167">
        <v>384121516</v>
      </c>
      <c r="B167" t="s">
        <v>8</v>
      </c>
      <c r="C167">
        <v>2.75576923076923E-2</v>
      </c>
      <c r="D167">
        <v>3.6912924025803702</v>
      </c>
      <c r="E167">
        <v>7.7433885124268201E-3</v>
      </c>
      <c r="F167">
        <v>8</v>
      </c>
      <c r="G167" t="str">
        <f>VLOOKUP(A167,[1]inrix_key!$A:$C,3,FALSE)</f>
        <v>McMillan_W</v>
      </c>
      <c r="H167">
        <f t="shared" si="2"/>
        <v>1.6534615384615381</v>
      </c>
    </row>
    <row r="168" spans="1:8" x14ac:dyDescent="0.25">
      <c r="A168">
        <v>1187466917</v>
      </c>
      <c r="B168" t="s">
        <v>8</v>
      </c>
      <c r="C168">
        <v>2.7995192307692301E-2</v>
      </c>
      <c r="D168">
        <v>3.94602161544092</v>
      </c>
      <c r="E168">
        <v>5.56027058934205E-3</v>
      </c>
      <c r="F168">
        <v>8</v>
      </c>
      <c r="G168" t="str">
        <f>VLOOKUP(A168,[1]inrix_key!$A:$C,3,FALSE)</f>
        <v>Colchester_S</v>
      </c>
      <c r="H168">
        <f t="shared" si="2"/>
        <v>1.679711538461538</v>
      </c>
    </row>
    <row r="169" spans="1:8" x14ac:dyDescent="0.25">
      <c r="A169">
        <v>448695751</v>
      </c>
      <c r="B169" t="s">
        <v>7</v>
      </c>
      <c r="C169">
        <v>2.8642857142857098E-2</v>
      </c>
      <c r="D169">
        <v>3.4672794211796099</v>
      </c>
      <c r="E169">
        <v>7.0790655645565003E-3</v>
      </c>
      <c r="F169">
        <v>10</v>
      </c>
      <c r="G169" t="str">
        <f>VLOOKUP(A169,[1]inrix_key!$A:$C,3,FALSE)</f>
        <v>Riverside_N</v>
      </c>
      <c r="H169">
        <f t="shared" si="2"/>
        <v>1.718571428571426</v>
      </c>
    </row>
    <row r="170" spans="1:8" x14ac:dyDescent="0.25">
      <c r="A170">
        <v>384139881</v>
      </c>
      <c r="B170" t="s">
        <v>9</v>
      </c>
      <c r="C170">
        <v>2.8754244439770801E-2</v>
      </c>
      <c r="D170">
        <v>2.09959714692202</v>
      </c>
      <c r="E170">
        <v>4.9353758126147E-2</v>
      </c>
      <c r="F170">
        <v>20</v>
      </c>
      <c r="G170" t="str">
        <f>VLOOKUP(A170,[1]inrix_key!$A:$C,3,FALSE)</f>
        <v>Pine_W</v>
      </c>
      <c r="H170">
        <f t="shared" si="2"/>
        <v>1.725254666386248</v>
      </c>
    </row>
    <row r="171" spans="1:8" x14ac:dyDescent="0.25">
      <c r="A171">
        <v>428958435</v>
      </c>
      <c r="B171" t="s">
        <v>8</v>
      </c>
      <c r="C171">
        <v>2.9884615384615301E-2</v>
      </c>
      <c r="D171">
        <v>2.9603053481816599</v>
      </c>
      <c r="E171">
        <v>2.1095913835348399E-2</v>
      </c>
      <c r="F171">
        <v>8</v>
      </c>
      <c r="G171">
        <f>VLOOKUP(A171,[1]inrix_key!$A:$C,3,FALSE)</f>
        <v>0</v>
      </c>
      <c r="H171">
        <f t="shared" si="2"/>
        <v>1.7930769230769181</v>
      </c>
    </row>
    <row r="172" spans="1:8" x14ac:dyDescent="0.25">
      <c r="A172">
        <v>1187466917</v>
      </c>
      <c r="B172" t="s">
        <v>6</v>
      </c>
      <c r="C172">
        <v>3.1140384615384601E-2</v>
      </c>
      <c r="D172">
        <v>2.9168830674430599</v>
      </c>
      <c r="E172">
        <v>8.8441972879490707E-3</v>
      </c>
      <c r="F172">
        <v>20</v>
      </c>
      <c r="G172" t="str">
        <f>VLOOKUP(A172,[1]inrix_key!$A:$C,3,FALSE)</f>
        <v>Colchester_S</v>
      </c>
      <c r="H172">
        <f t="shared" si="2"/>
        <v>1.8684230769230761</v>
      </c>
    </row>
    <row r="173" spans="1:8" x14ac:dyDescent="0.25">
      <c r="A173">
        <v>1187333605</v>
      </c>
      <c r="B173" t="s">
        <v>7</v>
      </c>
      <c r="C173">
        <v>3.1545133667502098E-2</v>
      </c>
      <c r="D173">
        <v>4.2171969441776804</v>
      </c>
      <c r="E173">
        <v>2.2487466946117399E-3</v>
      </c>
      <c r="F173">
        <v>10</v>
      </c>
      <c r="G173" t="str">
        <f>VLOOKUP(A173,[1]inrix_key!$A:$C,3,FALSE)</f>
        <v>Colchester_N</v>
      </c>
      <c r="H173">
        <f t="shared" si="2"/>
        <v>1.8927080200501258</v>
      </c>
    </row>
    <row r="174" spans="1:8" x14ac:dyDescent="0.25">
      <c r="A174">
        <v>448694747</v>
      </c>
      <c r="B174" t="s">
        <v>8</v>
      </c>
      <c r="C174">
        <v>3.1706730769230702E-2</v>
      </c>
      <c r="D174">
        <v>3.8121792153038201</v>
      </c>
      <c r="E174">
        <v>6.6091386337165797E-3</v>
      </c>
      <c r="F174">
        <v>8</v>
      </c>
      <c r="G174" t="str">
        <f>VLOOKUP(A174,[1]inrix_key!$A:$C,3,FALSE)</f>
        <v>Fairview_W</v>
      </c>
      <c r="H174">
        <f t="shared" si="2"/>
        <v>1.9024038461538422</v>
      </c>
    </row>
    <row r="175" spans="1:8" x14ac:dyDescent="0.25">
      <c r="A175">
        <v>448695754</v>
      </c>
      <c r="B175" t="s">
        <v>9</v>
      </c>
      <c r="C175">
        <v>3.2269389318112199E-2</v>
      </c>
      <c r="D175">
        <v>4.6498953009601198</v>
      </c>
      <c r="E175">
        <v>1.74603818861971E-4</v>
      </c>
      <c r="F175">
        <v>20</v>
      </c>
      <c r="G175" t="str">
        <f>VLOOKUP(A175,[1]inrix_key!$A:$C,3,FALSE)</f>
        <v>State_S</v>
      </c>
      <c r="H175">
        <f t="shared" si="2"/>
        <v>1.936163359086732</v>
      </c>
    </row>
    <row r="176" spans="1:8" x14ac:dyDescent="0.25">
      <c r="A176">
        <v>117503882</v>
      </c>
      <c r="B176" t="s">
        <v>6</v>
      </c>
      <c r="C176">
        <v>3.2523076923076898E-2</v>
      </c>
      <c r="D176">
        <v>5.5702261675696603</v>
      </c>
      <c r="E176" s="1">
        <v>2.2612207450142899E-5</v>
      </c>
      <c r="F176">
        <v>20</v>
      </c>
      <c r="G176" t="str">
        <f>VLOOKUP(A176,[1]inrix_key!$A:$C,3,FALSE)</f>
        <v>Franklin_E</v>
      </c>
      <c r="H176">
        <f t="shared" si="2"/>
        <v>1.9513846153846139</v>
      </c>
    </row>
    <row r="177" spans="1:8" x14ac:dyDescent="0.25">
      <c r="A177">
        <v>117503882</v>
      </c>
      <c r="B177" t="s">
        <v>9</v>
      </c>
      <c r="C177">
        <v>3.35010569173688E-2</v>
      </c>
      <c r="D177">
        <v>3.28555897686614</v>
      </c>
      <c r="E177">
        <v>3.88981464555883E-3</v>
      </c>
      <c r="F177">
        <v>20</v>
      </c>
      <c r="G177" t="str">
        <f>VLOOKUP(A177,[1]inrix_key!$A:$C,3,FALSE)</f>
        <v>Franklin_E</v>
      </c>
      <c r="H177">
        <f t="shared" si="2"/>
        <v>2.0100634150421279</v>
      </c>
    </row>
    <row r="178" spans="1:8" x14ac:dyDescent="0.25">
      <c r="A178">
        <v>1187334983</v>
      </c>
      <c r="B178" t="s">
        <v>6</v>
      </c>
      <c r="C178">
        <v>3.4017307692307597E-2</v>
      </c>
      <c r="D178">
        <v>3.0327199252415902</v>
      </c>
      <c r="E178">
        <v>6.84668426132236E-3</v>
      </c>
      <c r="F178">
        <v>20</v>
      </c>
      <c r="G178" t="str">
        <f>VLOOKUP(A178,[1]inrix_key!$A:$C,3,FALSE)</f>
        <v>Wainwright_N</v>
      </c>
      <c r="H178">
        <f t="shared" si="2"/>
        <v>2.0410384615384558</v>
      </c>
    </row>
    <row r="179" spans="1:8" x14ac:dyDescent="0.25">
      <c r="A179">
        <v>474871675</v>
      </c>
      <c r="B179" t="s">
        <v>9</v>
      </c>
      <c r="C179">
        <v>3.6026853678943399E-2</v>
      </c>
      <c r="D179">
        <v>2.1781258565813402</v>
      </c>
      <c r="E179">
        <v>4.3764917783358899E-2</v>
      </c>
      <c r="F179">
        <v>18</v>
      </c>
      <c r="G179" t="str">
        <f>VLOOKUP(A179,[1]inrix_key!$A:$C,3,FALSE)</f>
        <v>McMillan_E</v>
      </c>
      <c r="H179">
        <f t="shared" si="2"/>
        <v>2.1616112207366038</v>
      </c>
    </row>
    <row r="180" spans="1:8" x14ac:dyDescent="0.25">
      <c r="A180">
        <v>1187635580</v>
      </c>
      <c r="B180" t="s">
        <v>8</v>
      </c>
      <c r="C180">
        <v>3.7682692307692299E-2</v>
      </c>
      <c r="D180">
        <v>2.6639679130362901</v>
      </c>
      <c r="E180">
        <v>3.2280807582265703E-2</v>
      </c>
      <c r="F180">
        <v>8</v>
      </c>
      <c r="G180" t="str">
        <f>VLOOKUP(A180,[1]inrix_key!$A:$C,3,FALSE)</f>
        <v>WB_S</v>
      </c>
      <c r="H180">
        <f t="shared" si="2"/>
        <v>2.260961538461538</v>
      </c>
    </row>
    <row r="181" spans="1:8" x14ac:dyDescent="0.25">
      <c r="A181">
        <v>1187612015</v>
      </c>
      <c r="B181" t="s">
        <v>8</v>
      </c>
      <c r="C181">
        <v>4.0802884615384498E-2</v>
      </c>
      <c r="D181">
        <v>2.2333357796310902</v>
      </c>
      <c r="E181">
        <v>6.0671507419950997E-2</v>
      </c>
      <c r="F181">
        <v>8</v>
      </c>
      <c r="G181" t="str">
        <f>VLOOKUP(A181,[1]inrix_key!$A:$C,3,FALSE)</f>
        <v>Chinden_W</v>
      </c>
      <c r="H181">
        <f t="shared" si="2"/>
        <v>2.4481730769230698</v>
      </c>
    </row>
    <row r="182" spans="1:8" x14ac:dyDescent="0.25">
      <c r="A182">
        <v>1187548987</v>
      </c>
      <c r="B182" t="s">
        <v>6</v>
      </c>
      <c r="C182">
        <v>4.09384615384615E-2</v>
      </c>
      <c r="D182">
        <v>2.76793207379249</v>
      </c>
      <c r="E182">
        <v>1.22489387915616E-2</v>
      </c>
      <c r="F182">
        <v>20</v>
      </c>
      <c r="G182" t="str">
        <f>VLOOKUP(A182,[1]inrix_key!$A:$C,3,FALSE)</f>
        <v>McMillan_S</v>
      </c>
      <c r="H182">
        <f t="shared" si="2"/>
        <v>2.4563076923076901</v>
      </c>
    </row>
    <row r="183" spans="1:8" x14ac:dyDescent="0.25">
      <c r="A183">
        <v>1187586311</v>
      </c>
      <c r="B183" t="s">
        <v>6</v>
      </c>
      <c r="C183">
        <v>4.3055769230769203E-2</v>
      </c>
      <c r="D183">
        <v>1.76126397816105</v>
      </c>
      <c r="E183">
        <v>9.4278854547694801E-2</v>
      </c>
      <c r="F183">
        <v>20</v>
      </c>
      <c r="G183" t="str">
        <f>VLOOKUP(A183,[1]inrix_key!$A:$C,3,FALSE)</f>
        <v>EB_W</v>
      </c>
      <c r="H183">
        <f t="shared" si="2"/>
        <v>2.5833461538461524</v>
      </c>
    </row>
    <row r="184" spans="1:8" x14ac:dyDescent="0.25">
      <c r="A184">
        <v>119501618</v>
      </c>
      <c r="B184" t="s">
        <v>6</v>
      </c>
      <c r="C184">
        <v>4.4413461538461499E-2</v>
      </c>
      <c r="D184">
        <v>1.5970766519561099</v>
      </c>
      <c r="E184">
        <v>0.12674688665937101</v>
      </c>
      <c r="F184">
        <v>20</v>
      </c>
      <c r="G184" t="str">
        <f>VLOOKUP(A184,[1]inrix_key!$A:$C,3,FALSE)</f>
        <v>McMillan_N</v>
      </c>
      <c r="H184">
        <f t="shared" si="2"/>
        <v>2.66480769230769</v>
      </c>
    </row>
    <row r="185" spans="1:8" x14ac:dyDescent="0.25">
      <c r="A185">
        <v>117503882</v>
      </c>
      <c r="B185" t="s">
        <v>8</v>
      </c>
      <c r="C185">
        <v>4.64326923076923E-2</v>
      </c>
      <c r="D185">
        <v>2.7103965741506801</v>
      </c>
      <c r="E185">
        <v>3.0181700319700501E-2</v>
      </c>
      <c r="F185">
        <v>8</v>
      </c>
      <c r="G185" t="str">
        <f>VLOOKUP(A185,[1]inrix_key!$A:$C,3,FALSE)</f>
        <v>Franklin_E</v>
      </c>
      <c r="H185">
        <f t="shared" si="2"/>
        <v>2.7859615384615379</v>
      </c>
    </row>
    <row r="186" spans="1:8" x14ac:dyDescent="0.25">
      <c r="A186">
        <v>1187532837</v>
      </c>
      <c r="B186" t="s">
        <v>8</v>
      </c>
      <c r="C186">
        <v>4.6471153846153801E-2</v>
      </c>
      <c r="D186">
        <v>2.3615725335227098</v>
      </c>
      <c r="E186">
        <v>5.0224962886620997E-2</v>
      </c>
      <c r="F186">
        <v>8</v>
      </c>
      <c r="G186" t="str">
        <f>VLOOKUP(A186,[1]inrix_key!$A:$C,3,FALSE)</f>
        <v>HobbleCreek_N</v>
      </c>
      <c r="H186">
        <f t="shared" si="2"/>
        <v>2.7882692307692283</v>
      </c>
    </row>
    <row r="187" spans="1:8" x14ac:dyDescent="0.25">
      <c r="A187">
        <v>448694747</v>
      </c>
      <c r="B187" t="s">
        <v>9</v>
      </c>
      <c r="C187">
        <v>4.7285935263566801E-2</v>
      </c>
      <c r="D187">
        <v>3.77697484069706</v>
      </c>
      <c r="E187">
        <v>1.2750425488959999E-3</v>
      </c>
      <c r="F187">
        <v>20</v>
      </c>
      <c r="G187" t="str">
        <f>VLOOKUP(A187,[1]inrix_key!$A:$C,3,FALSE)</f>
        <v>Fairview_W</v>
      </c>
      <c r="H187">
        <f t="shared" si="2"/>
        <v>2.837156115814008</v>
      </c>
    </row>
    <row r="188" spans="1:8" x14ac:dyDescent="0.25">
      <c r="A188">
        <v>448695753</v>
      </c>
      <c r="B188" t="s">
        <v>8</v>
      </c>
      <c r="C188">
        <v>5.5427884615384601E-2</v>
      </c>
      <c r="D188">
        <v>5.0913809372003804</v>
      </c>
      <c r="E188">
        <v>1.41299770737994E-3</v>
      </c>
      <c r="F188">
        <v>8</v>
      </c>
      <c r="G188" t="str">
        <f>VLOOKUP(A188,[1]inrix_key!$A:$C,3,FALSE)</f>
        <v>Riverside_S</v>
      </c>
      <c r="H188">
        <f t="shared" si="2"/>
        <v>3.325673076923076</v>
      </c>
    </row>
    <row r="189" spans="1:8" x14ac:dyDescent="0.25">
      <c r="A189">
        <v>448695751</v>
      </c>
      <c r="B189" t="s">
        <v>8</v>
      </c>
      <c r="C189">
        <v>5.7692307692307598E-2</v>
      </c>
      <c r="D189">
        <v>5.7691637146744803</v>
      </c>
      <c r="E189">
        <v>6.8481195791507703E-4</v>
      </c>
      <c r="F189">
        <v>8</v>
      </c>
      <c r="G189" t="str">
        <f>VLOOKUP(A189,[1]inrix_key!$A:$C,3,FALSE)</f>
        <v>Riverside_N</v>
      </c>
      <c r="H189">
        <f t="shared" si="2"/>
        <v>3.4615384615384559</v>
      </c>
    </row>
    <row r="190" spans="1:8" x14ac:dyDescent="0.25">
      <c r="A190">
        <v>448695754</v>
      </c>
      <c r="B190" t="s">
        <v>7</v>
      </c>
      <c r="C190">
        <v>5.98960060407428E-2</v>
      </c>
      <c r="D190">
        <v>5.8833039136971701</v>
      </c>
      <c r="E190">
        <v>2.33866032367544E-4</v>
      </c>
      <c r="F190">
        <v>10</v>
      </c>
      <c r="G190" t="str">
        <f>VLOOKUP(A190,[1]inrix_key!$A:$C,3,FALSE)</f>
        <v>State_S</v>
      </c>
      <c r="H190">
        <f t="shared" si="2"/>
        <v>3.5937603624445682</v>
      </c>
    </row>
    <row r="191" spans="1:8" x14ac:dyDescent="0.25">
      <c r="A191">
        <v>1187327938</v>
      </c>
      <c r="B191" t="s">
        <v>8</v>
      </c>
      <c r="C191">
        <v>6.1365384615384502E-2</v>
      </c>
      <c r="D191">
        <v>3.8344926670135502</v>
      </c>
      <c r="E191">
        <v>6.4202501942157196E-3</v>
      </c>
      <c r="F191">
        <v>8</v>
      </c>
      <c r="G191" t="str">
        <f>VLOOKUP(A191,[1]inrix_key!$A:$C,3,FALSE)</f>
        <v>Franklin_W</v>
      </c>
      <c r="H191">
        <f t="shared" si="2"/>
        <v>3.68192307692307</v>
      </c>
    </row>
    <row r="192" spans="1:8" x14ac:dyDescent="0.25">
      <c r="A192">
        <v>1187334983</v>
      </c>
      <c r="B192" t="s">
        <v>8</v>
      </c>
      <c r="C192">
        <v>6.8057692307692194E-2</v>
      </c>
      <c r="D192">
        <v>3.7467909876681</v>
      </c>
      <c r="E192">
        <v>7.1983680886601401E-3</v>
      </c>
      <c r="F192">
        <v>8</v>
      </c>
      <c r="G192" t="str">
        <f>VLOOKUP(A192,[1]inrix_key!$A:$C,3,FALSE)</f>
        <v>Wainwright_N</v>
      </c>
      <c r="H192">
        <f t="shared" si="2"/>
        <v>4.083461538461532</v>
      </c>
    </row>
    <row r="193" spans="1:8" x14ac:dyDescent="0.25">
      <c r="A193">
        <v>117503882</v>
      </c>
      <c r="B193" t="s">
        <v>7</v>
      </c>
      <c r="C193">
        <v>7.0383333333333298E-2</v>
      </c>
      <c r="D193">
        <v>2.2502099962613098</v>
      </c>
      <c r="E193">
        <v>5.0985764686909602E-2</v>
      </c>
      <c r="F193">
        <v>10</v>
      </c>
      <c r="G193" t="str">
        <f>VLOOKUP(A193,[1]inrix_key!$A:$C,3,FALSE)</f>
        <v>Franklin_E</v>
      </c>
      <c r="H193">
        <f t="shared" si="2"/>
        <v>4.2229999999999981</v>
      </c>
    </row>
    <row r="194" spans="1:8" x14ac:dyDescent="0.25">
      <c r="A194">
        <v>448695754</v>
      </c>
      <c r="B194" t="s">
        <v>8</v>
      </c>
      <c r="C194">
        <v>7.5149038461538406E-2</v>
      </c>
      <c r="D194">
        <v>10.515160542353501</v>
      </c>
      <c r="E194" s="1">
        <v>1.53486904880094E-5</v>
      </c>
      <c r="F194">
        <v>8</v>
      </c>
      <c r="G194" t="str">
        <f>VLOOKUP(A194,[1]inrix_key!$A:$C,3,FALSE)</f>
        <v>State_S</v>
      </c>
      <c r="H194">
        <f t="shared" ref="H194:H207" si="3">60*C194</f>
        <v>4.5089423076923048</v>
      </c>
    </row>
    <row r="195" spans="1:8" x14ac:dyDescent="0.25">
      <c r="A195">
        <v>448697009</v>
      </c>
      <c r="B195" t="s">
        <v>8</v>
      </c>
      <c r="C195">
        <v>7.6288461538461499E-2</v>
      </c>
      <c r="D195">
        <v>1.9928497508244201</v>
      </c>
      <c r="E195">
        <v>8.6526905196526699E-2</v>
      </c>
      <c r="F195">
        <v>8</v>
      </c>
      <c r="G195" t="str">
        <f>VLOOKUP(A195,[1]inrix_key!$A:$C,3,FALSE)</f>
        <v>Ustick_S</v>
      </c>
      <c r="H195">
        <f t="shared" si="3"/>
        <v>4.5773076923076896</v>
      </c>
    </row>
    <row r="196" spans="1:8" x14ac:dyDescent="0.25">
      <c r="A196">
        <v>1187327938</v>
      </c>
      <c r="B196" t="s">
        <v>9</v>
      </c>
      <c r="C196">
        <v>7.8207932053326698E-2</v>
      </c>
      <c r="D196">
        <v>3.2108499714873102</v>
      </c>
      <c r="E196">
        <v>4.6008783532746197E-3</v>
      </c>
      <c r="F196">
        <v>20</v>
      </c>
      <c r="G196" t="str">
        <f>VLOOKUP(A196,[1]inrix_key!$A:$C,3,FALSE)</f>
        <v>Franklin_W</v>
      </c>
      <c r="H196">
        <f t="shared" si="3"/>
        <v>4.6924759231996021</v>
      </c>
    </row>
    <row r="197" spans="1:8" x14ac:dyDescent="0.25">
      <c r="A197">
        <v>1187517040</v>
      </c>
      <c r="B197" t="s">
        <v>6</v>
      </c>
      <c r="C197">
        <v>8.1861538461538402E-2</v>
      </c>
      <c r="D197">
        <v>4.1792024351777002</v>
      </c>
      <c r="E197">
        <v>5.0890040285541597E-4</v>
      </c>
      <c r="F197">
        <v>20</v>
      </c>
      <c r="G197" t="str">
        <f>VLOOKUP(A197,[1]inrix_key!$A:$C,3,FALSE)</f>
        <v>Wainwright_S</v>
      </c>
      <c r="H197">
        <f t="shared" si="3"/>
        <v>4.911692307692304</v>
      </c>
    </row>
    <row r="198" spans="1:8" x14ac:dyDescent="0.25">
      <c r="A198">
        <v>1187327938</v>
      </c>
      <c r="B198" t="s">
        <v>6</v>
      </c>
      <c r="C198">
        <v>8.3730769230769095E-2</v>
      </c>
      <c r="D198">
        <v>4.4788775308002098</v>
      </c>
      <c r="E198">
        <v>2.5722578936875702E-4</v>
      </c>
      <c r="F198">
        <v>20</v>
      </c>
      <c r="G198" t="str">
        <f>VLOOKUP(A198,[1]inrix_key!$A:$C,3,FALSE)</f>
        <v>Franklin_W</v>
      </c>
      <c r="H198">
        <f t="shared" si="3"/>
        <v>5.0238461538461454</v>
      </c>
    </row>
    <row r="199" spans="1:8" x14ac:dyDescent="0.25">
      <c r="A199">
        <v>117772024</v>
      </c>
      <c r="B199" t="s">
        <v>7</v>
      </c>
      <c r="C199">
        <v>8.4047619047618996E-2</v>
      </c>
      <c r="D199">
        <v>2.7268919613475702</v>
      </c>
      <c r="E199">
        <v>3.4327286083597301E-2</v>
      </c>
      <c r="F199">
        <v>7</v>
      </c>
      <c r="G199" t="str">
        <f>VLOOKUP(A199,[1]inrix_key!$A:$C,3,FALSE)</f>
        <v>IslandWood_W</v>
      </c>
      <c r="H199">
        <f t="shared" si="3"/>
        <v>5.04285714285714</v>
      </c>
    </row>
    <row r="200" spans="1:8" x14ac:dyDescent="0.25">
      <c r="A200">
        <v>1187333605</v>
      </c>
      <c r="B200" t="s">
        <v>8</v>
      </c>
      <c r="C200">
        <v>0.10793749999999901</v>
      </c>
      <c r="D200">
        <v>4.6840347138733103</v>
      </c>
      <c r="E200">
        <v>2.2501660108521599E-3</v>
      </c>
      <c r="F200">
        <v>8</v>
      </c>
      <c r="G200" t="str">
        <f>VLOOKUP(A200,[1]inrix_key!$A:$C,3,FALSE)</f>
        <v>Colchester_N</v>
      </c>
      <c r="H200">
        <f t="shared" si="3"/>
        <v>6.4762499999999408</v>
      </c>
    </row>
    <row r="201" spans="1:8" x14ac:dyDescent="0.25">
      <c r="A201">
        <v>1187335042</v>
      </c>
      <c r="B201" t="s">
        <v>6</v>
      </c>
      <c r="C201">
        <v>0.10984038461538401</v>
      </c>
      <c r="D201">
        <v>5.6275629779330902</v>
      </c>
      <c r="E201" s="1">
        <v>1.9965485233926501E-5</v>
      </c>
      <c r="F201">
        <v>20</v>
      </c>
      <c r="G201" t="str">
        <f>VLOOKUP(A201,[1]inrix_key!$A:$C,3,FALSE)</f>
        <v>Ustick_N</v>
      </c>
      <c r="H201">
        <f t="shared" si="3"/>
        <v>6.5904230769230407</v>
      </c>
    </row>
    <row r="202" spans="1:8" x14ac:dyDescent="0.25">
      <c r="A202">
        <v>1187548987</v>
      </c>
      <c r="B202" t="s">
        <v>8</v>
      </c>
      <c r="C202">
        <v>0.11176923076923</v>
      </c>
      <c r="D202">
        <v>3.4506574007413899</v>
      </c>
      <c r="E202">
        <v>1.0681805139824099E-2</v>
      </c>
      <c r="F202">
        <v>8</v>
      </c>
      <c r="G202" t="str">
        <f>VLOOKUP(A202,[1]inrix_key!$A:$C,3,FALSE)</f>
        <v>McMillan_S</v>
      </c>
      <c r="H202">
        <f t="shared" si="3"/>
        <v>6.7061538461537999</v>
      </c>
    </row>
    <row r="203" spans="1:8" x14ac:dyDescent="0.25">
      <c r="A203">
        <v>1187517040</v>
      </c>
      <c r="B203" t="s">
        <v>8</v>
      </c>
      <c r="C203">
        <v>0.132802884615384</v>
      </c>
      <c r="D203">
        <v>2.8755933955469</v>
      </c>
      <c r="E203">
        <v>2.38009636879838E-2</v>
      </c>
      <c r="F203">
        <v>8</v>
      </c>
      <c r="G203" t="str">
        <f>VLOOKUP(A203,[1]inrix_key!$A:$C,3,FALSE)</f>
        <v>Wainwright_S</v>
      </c>
      <c r="H203">
        <f t="shared" si="3"/>
        <v>7.9681730769230406</v>
      </c>
    </row>
    <row r="204" spans="1:8" x14ac:dyDescent="0.25">
      <c r="A204">
        <v>119501618</v>
      </c>
      <c r="B204" t="s">
        <v>8</v>
      </c>
      <c r="C204">
        <v>0.161182692307692</v>
      </c>
      <c r="D204">
        <v>2.6320183607025598</v>
      </c>
      <c r="E204">
        <v>3.3813292258695102E-2</v>
      </c>
      <c r="F204">
        <v>8</v>
      </c>
      <c r="G204" t="str">
        <f>VLOOKUP(A204,[1]inrix_key!$A:$C,3,FALSE)</f>
        <v>McMillan_N</v>
      </c>
      <c r="H204">
        <f t="shared" si="3"/>
        <v>9.6709615384615191</v>
      </c>
    </row>
    <row r="205" spans="1:8" x14ac:dyDescent="0.25">
      <c r="A205">
        <v>1187327938</v>
      </c>
      <c r="B205" t="s">
        <v>7</v>
      </c>
      <c r="C205">
        <v>0.16663373015873001</v>
      </c>
      <c r="D205">
        <v>9.9298590071058008</v>
      </c>
      <c r="E205" s="1">
        <v>3.7940261825186399E-6</v>
      </c>
      <c r="F205">
        <v>10</v>
      </c>
      <c r="G205" t="str">
        <f>VLOOKUP(A205,[1]inrix_key!$A:$C,3,FALSE)</f>
        <v>Franklin_W</v>
      </c>
      <c r="H205">
        <f t="shared" si="3"/>
        <v>9.9980238095238008</v>
      </c>
    </row>
    <row r="206" spans="1:8" x14ac:dyDescent="0.25">
      <c r="A206">
        <v>1187335042</v>
      </c>
      <c r="B206" t="s">
        <v>8</v>
      </c>
      <c r="C206">
        <v>0.255278846153846</v>
      </c>
      <c r="D206">
        <v>5.0574653030808001</v>
      </c>
      <c r="E206">
        <v>1.4675075663588099E-3</v>
      </c>
      <c r="F206">
        <v>8</v>
      </c>
      <c r="G206" t="str">
        <f>VLOOKUP(A206,[1]inrix_key!$A:$C,3,FALSE)</f>
        <v>Ustick_N</v>
      </c>
      <c r="H206">
        <f t="shared" si="3"/>
        <v>15.316730769230759</v>
      </c>
    </row>
    <row r="207" spans="1:8" x14ac:dyDescent="0.25">
      <c r="A207">
        <v>384139881</v>
      </c>
      <c r="B207" t="s">
        <v>7</v>
      </c>
      <c r="C207">
        <v>0.27907269119769101</v>
      </c>
      <c r="D207">
        <v>4.0964492264169499</v>
      </c>
      <c r="E207">
        <v>2.6909530280672701E-3</v>
      </c>
      <c r="F207">
        <v>10</v>
      </c>
      <c r="G207" t="str">
        <f>VLOOKUP(A207,[1]inrix_key!$A:$C,3,FALSE)</f>
        <v>Pine_W</v>
      </c>
      <c r="H207">
        <f t="shared" si="3"/>
        <v>16.74436147186146</v>
      </c>
    </row>
    <row r="218" spans="3:3" x14ac:dyDescent="0.25">
      <c r="C218" s="1"/>
    </row>
    <row r="246" spans="5:5" x14ac:dyDescent="0.25">
      <c r="E246" s="1"/>
    </row>
    <row r="253" spans="5:5" x14ac:dyDescent="0.25">
      <c r="E253" s="1"/>
    </row>
    <row r="255" spans="5:5" x14ac:dyDescent="0.25">
      <c r="E255" s="1"/>
    </row>
    <row r="258" spans="5:5" x14ac:dyDescent="0.25">
      <c r="E258" s="1"/>
    </row>
    <row r="259" spans="5:5" x14ac:dyDescent="0.25">
      <c r="E259" s="1"/>
    </row>
    <row r="305" spans="5:5" x14ac:dyDescent="0.25">
      <c r="E305" s="1"/>
    </row>
    <row r="309" spans="5:5" x14ac:dyDescent="0.25">
      <c r="E309" s="1"/>
    </row>
    <row r="311" spans="5:5" x14ac:dyDescent="0.25">
      <c r="E311" s="1"/>
    </row>
    <row r="351" spans="3:3" x14ac:dyDescent="0.25">
      <c r="C351" s="1"/>
    </row>
    <row r="364" spans="5:5" x14ac:dyDescent="0.25">
      <c r="E364" s="1"/>
    </row>
    <row r="379" spans="3:3" x14ac:dyDescent="0.25">
      <c r="C379" s="1"/>
    </row>
    <row r="465" spans="5:5" x14ac:dyDescent="0.25">
      <c r="E465" s="1"/>
    </row>
    <row r="466" spans="5:5" x14ac:dyDescent="0.25">
      <c r="E466" s="1"/>
    </row>
    <row r="468" spans="5:5" x14ac:dyDescent="0.25">
      <c r="E468" s="1"/>
    </row>
    <row r="470" spans="5:5" x14ac:dyDescent="0.25">
      <c r="E470" s="1"/>
    </row>
  </sheetData>
  <autoFilter ref="A1:H516" xr:uid="{513C8860-0540-4CEC-BC95-74265E1438F7}">
    <sortState xmlns:xlrd2="http://schemas.microsoft.com/office/spreadsheetml/2017/richdata2" ref="A2:H516">
      <sortCondition ref="H1:H51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BC22-457B-4278-BC7C-40C27ADDDD10}">
  <dimension ref="A1:K515"/>
  <sheetViews>
    <sheetView workbookViewId="0">
      <selection activeCell="G1" sqref="G1:H1"/>
    </sheetView>
  </sheetViews>
  <sheetFormatPr defaultRowHeight="15" x14ac:dyDescent="0.25"/>
  <cols>
    <col min="1" max="1" width="11" bestFit="1" customWidth="1"/>
    <col min="2" max="2" width="26" bestFit="1" customWidth="1"/>
    <col min="7" max="7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12</v>
      </c>
    </row>
    <row r="2" spans="1:11" x14ac:dyDescent="0.25">
      <c r="A2">
        <v>448697008</v>
      </c>
      <c r="B2" t="s">
        <v>6</v>
      </c>
      <c r="C2">
        <v>-6.8681249999999999E-2</v>
      </c>
      <c r="D2">
        <v>-6.8511043727108296</v>
      </c>
      <c r="E2" s="1">
        <v>1.5453054462718401E-6</v>
      </c>
      <c r="F2">
        <v>20</v>
      </c>
      <c r="G2" t="str">
        <f>VLOOKUP(A2,[1]inrix_key!$A:$C,3,FALSE)</f>
        <v>RiverValley_S</v>
      </c>
      <c r="H2">
        <f t="shared" ref="H2:H33" si="0">60*C2</f>
        <v>-4.1208749999999998</v>
      </c>
    </row>
    <row r="3" spans="1:11" x14ac:dyDescent="0.25">
      <c r="A3">
        <v>1187548947</v>
      </c>
      <c r="B3" t="s">
        <v>6</v>
      </c>
      <c r="C3">
        <v>-2.5749999999999999E-2</v>
      </c>
      <c r="D3">
        <v>-4.1824138515916598</v>
      </c>
      <c r="E3">
        <v>5.0518493084338197E-4</v>
      </c>
      <c r="F3">
        <v>20</v>
      </c>
      <c r="G3" t="str">
        <f>VLOOKUP(A3,[1]inrix_key!$A:$C,3,FALSE)</f>
        <v>Fairview_S</v>
      </c>
      <c r="H3">
        <f t="shared" si="0"/>
        <v>-1.5449999999999999</v>
      </c>
      <c r="J3" t="s">
        <v>13</v>
      </c>
      <c r="K3">
        <f>AVERAGEIF(G:G,"*_N*",H:H)</f>
        <v>2.8229960951746613</v>
      </c>
    </row>
    <row r="4" spans="1:11" x14ac:dyDescent="0.25">
      <c r="A4">
        <v>428958435</v>
      </c>
      <c r="B4" t="s">
        <v>6</v>
      </c>
      <c r="C4">
        <v>-2.1018749999999999E-2</v>
      </c>
      <c r="D4">
        <v>-2.2168754119973602</v>
      </c>
      <c r="E4">
        <v>3.90284052906184E-2</v>
      </c>
      <c r="F4">
        <v>20</v>
      </c>
      <c r="G4">
        <f>VLOOKUP(A4,[1]inrix_key!$A:$C,3,FALSE)</f>
        <v>0</v>
      </c>
      <c r="H4">
        <f t="shared" si="0"/>
        <v>-1.2611250000000001</v>
      </c>
      <c r="J4" t="s">
        <v>14</v>
      </c>
      <c r="K4">
        <f>AVERAGEIF(G:G,"*_S*",H:H)</f>
        <v>2.1624846329950911</v>
      </c>
    </row>
    <row r="5" spans="1:11" x14ac:dyDescent="0.25">
      <c r="A5">
        <v>1187377510</v>
      </c>
      <c r="B5" t="s">
        <v>6</v>
      </c>
      <c r="C5">
        <v>-2.0637499999999899E-2</v>
      </c>
      <c r="D5">
        <v>-2.03845892891791</v>
      </c>
      <c r="E5">
        <v>5.56671191185244E-2</v>
      </c>
      <c r="F5">
        <v>20</v>
      </c>
      <c r="G5" t="str">
        <f>VLOOKUP(A5,[1]inrix_key!$A:$C,3,FALSE)</f>
        <v>EB_S</v>
      </c>
      <c r="H5">
        <f t="shared" si="0"/>
        <v>-1.2382499999999939</v>
      </c>
      <c r="J5" t="s">
        <v>15</v>
      </c>
      <c r="K5">
        <f>AVERAGEIF(G:G,"*_W*",H:H)</f>
        <v>1.7592141280218903</v>
      </c>
    </row>
    <row r="6" spans="1:11" x14ac:dyDescent="0.25">
      <c r="A6">
        <v>1187635580</v>
      </c>
      <c r="B6" t="s">
        <v>6</v>
      </c>
      <c r="C6">
        <v>-1.54187499999999E-2</v>
      </c>
      <c r="D6">
        <v>-1.71255100685258</v>
      </c>
      <c r="E6">
        <v>0.103067786813257</v>
      </c>
      <c r="F6">
        <v>20</v>
      </c>
      <c r="G6" t="str">
        <f>VLOOKUP(A6,[1]inrix_key!$A:$C,3,FALSE)</f>
        <v>WB_S</v>
      </c>
      <c r="H6">
        <f t="shared" si="0"/>
        <v>-0.92512499999999398</v>
      </c>
      <c r="J6" t="s">
        <v>16</v>
      </c>
      <c r="K6">
        <f>AVERAGEIF(G:G,"*_E*",H:H)</f>
        <v>1.9210468238596372</v>
      </c>
    </row>
    <row r="7" spans="1:11" x14ac:dyDescent="0.25">
      <c r="A7">
        <v>1187654609</v>
      </c>
      <c r="B7" t="s">
        <v>6</v>
      </c>
      <c r="C7">
        <v>-1.1743750000000001E-2</v>
      </c>
      <c r="D7">
        <v>-1.22140479963601</v>
      </c>
      <c r="E7">
        <v>0.236872277419894</v>
      </c>
      <c r="F7">
        <v>20</v>
      </c>
      <c r="G7" t="str">
        <f>VLOOKUP(A7,[1]inrix_key!$A:$C,3,FALSE)</f>
        <v>Pine_N</v>
      </c>
      <c r="H7">
        <f t="shared" si="0"/>
        <v>-0.70462500000000006</v>
      </c>
    </row>
    <row r="8" spans="1:11" x14ac:dyDescent="0.25">
      <c r="A8">
        <v>448697007</v>
      </c>
      <c r="B8" t="s">
        <v>6</v>
      </c>
      <c r="C8">
        <v>-7.9124999999999994E-3</v>
      </c>
      <c r="D8">
        <v>-0.83893997695008604</v>
      </c>
      <c r="E8">
        <v>0.41193424008629997</v>
      </c>
      <c r="F8">
        <v>20</v>
      </c>
      <c r="G8" t="str">
        <f>VLOOKUP(A8,[1]inrix_key!$A:$C,3,FALSE)</f>
        <v>WB_N</v>
      </c>
      <c r="H8">
        <f t="shared" si="0"/>
        <v>-0.47474999999999995</v>
      </c>
    </row>
    <row r="9" spans="1:11" x14ac:dyDescent="0.25">
      <c r="A9">
        <v>428958433</v>
      </c>
      <c r="B9" t="s">
        <v>6</v>
      </c>
      <c r="C9">
        <v>-4.5374999999999903E-3</v>
      </c>
      <c r="D9">
        <v>-2.4874470764276402</v>
      </c>
      <c r="E9">
        <v>2.23229161281027E-2</v>
      </c>
      <c r="F9">
        <v>20</v>
      </c>
      <c r="G9" t="str">
        <f>VLOOKUP(A9,[1]inrix_key!$A:$C,3,FALSE)</f>
        <v>EB_S</v>
      </c>
      <c r="H9">
        <f t="shared" si="0"/>
        <v>-0.27224999999999944</v>
      </c>
    </row>
    <row r="10" spans="1:11" x14ac:dyDescent="0.25">
      <c r="A10">
        <v>448725596</v>
      </c>
      <c r="B10" t="s">
        <v>6</v>
      </c>
      <c r="C10">
        <v>-2.9374999999999801E-3</v>
      </c>
      <c r="D10">
        <v>-0.26243579903933101</v>
      </c>
      <c r="E10">
        <v>0.79580986750094496</v>
      </c>
      <c r="F10">
        <v>20</v>
      </c>
      <c r="G10" t="str">
        <f>VLOOKUP(A10,[1]inrix_key!$A:$C,3,FALSE)</f>
        <v>Franklin_S</v>
      </c>
      <c r="H10">
        <f t="shared" si="0"/>
        <v>-0.1762499999999988</v>
      </c>
    </row>
    <row r="11" spans="1:11" x14ac:dyDescent="0.25">
      <c r="A11">
        <v>484366819</v>
      </c>
      <c r="B11" t="s">
        <v>6</v>
      </c>
      <c r="C11">
        <v>1.24999999999989E-4</v>
      </c>
      <c r="D11">
        <v>4.2231921036300003E-2</v>
      </c>
      <c r="E11">
        <v>0.96675447032627604</v>
      </c>
      <c r="F11">
        <v>20</v>
      </c>
      <c r="G11" t="str">
        <f>VLOOKUP(A11,[1]inrix_key!$A:$C,3,FALSE)</f>
        <v>Pine_E</v>
      </c>
      <c r="H11">
        <f t="shared" si="0"/>
        <v>7.4999999999993397E-3</v>
      </c>
    </row>
    <row r="12" spans="1:11" x14ac:dyDescent="0.25">
      <c r="A12">
        <v>428958434</v>
      </c>
      <c r="B12" t="s">
        <v>6</v>
      </c>
      <c r="C12">
        <v>2.06249999999999E-4</v>
      </c>
      <c r="D12">
        <v>2.5857444178643E-2</v>
      </c>
      <c r="E12">
        <v>0.97964069511297003</v>
      </c>
      <c r="F12">
        <v>20</v>
      </c>
      <c r="G12">
        <f>VLOOKUP(A12,[1]inrix_key!$A:$C,3,FALSE)</f>
        <v>0</v>
      </c>
      <c r="H12">
        <f t="shared" si="0"/>
        <v>1.237499999999994E-2</v>
      </c>
    </row>
    <row r="13" spans="1:11" x14ac:dyDescent="0.25">
      <c r="A13">
        <v>484347992</v>
      </c>
      <c r="B13" t="s">
        <v>6</v>
      </c>
      <c r="C13">
        <v>3.7763157894736598E-4</v>
      </c>
      <c r="D13">
        <v>1.24810179007443</v>
      </c>
      <c r="E13">
        <v>0.22715635063408701</v>
      </c>
      <c r="F13">
        <v>20</v>
      </c>
      <c r="G13">
        <f>VLOOKUP(A13,[1]inrix_key!$A:$C,3,FALSE)</f>
        <v>0</v>
      </c>
      <c r="H13">
        <f t="shared" si="0"/>
        <v>2.265789473684196E-2</v>
      </c>
    </row>
    <row r="14" spans="1:11" x14ac:dyDescent="0.25">
      <c r="A14">
        <v>448694757</v>
      </c>
      <c r="B14" t="s">
        <v>6</v>
      </c>
      <c r="C14">
        <v>2.5937499999999702E-3</v>
      </c>
      <c r="D14">
        <v>0.25091753444234499</v>
      </c>
      <c r="E14">
        <v>0.80457139458290405</v>
      </c>
      <c r="F14">
        <v>20</v>
      </c>
      <c r="G14" t="str">
        <f>VLOOKUP(A14,[1]inrix_key!$A:$C,3,FALSE)</f>
        <v>Ustick_W</v>
      </c>
      <c r="H14">
        <f t="shared" si="0"/>
        <v>0.15562499999999821</v>
      </c>
    </row>
    <row r="15" spans="1:11" x14ac:dyDescent="0.25">
      <c r="A15">
        <v>474871675</v>
      </c>
      <c r="B15" t="s">
        <v>6</v>
      </c>
      <c r="C15">
        <v>3.5187500000000102E-3</v>
      </c>
      <c r="D15">
        <v>0.41128147415134603</v>
      </c>
      <c r="E15">
        <v>0.68546815959296004</v>
      </c>
      <c r="F15">
        <v>20</v>
      </c>
      <c r="G15" t="str">
        <f>VLOOKUP(A15,[1]inrix_key!$A:$C,3,FALSE)</f>
        <v>McMillan_E</v>
      </c>
      <c r="H15">
        <f t="shared" si="0"/>
        <v>0.21112500000000062</v>
      </c>
    </row>
    <row r="16" spans="1:11" x14ac:dyDescent="0.25">
      <c r="A16">
        <v>1187654588</v>
      </c>
      <c r="B16" t="s">
        <v>6</v>
      </c>
      <c r="C16">
        <v>5.2000000000000102E-3</v>
      </c>
      <c r="D16">
        <v>0.32154724953321401</v>
      </c>
      <c r="E16">
        <v>0.75130622270525405</v>
      </c>
      <c r="F16">
        <v>20</v>
      </c>
      <c r="G16" t="str">
        <f>VLOOKUP(A16,[1]inrix_key!$A:$C,3,FALSE)</f>
        <v>Franklin_N</v>
      </c>
      <c r="H16">
        <f t="shared" si="0"/>
        <v>0.31200000000000061</v>
      </c>
    </row>
    <row r="17" spans="1:8" x14ac:dyDescent="0.25">
      <c r="A17">
        <v>484371307</v>
      </c>
      <c r="B17" t="s">
        <v>6</v>
      </c>
      <c r="C17">
        <v>6.0187499999999903E-3</v>
      </c>
      <c r="D17">
        <v>2.3905234754601699</v>
      </c>
      <c r="E17">
        <v>2.73382715861549E-2</v>
      </c>
      <c r="F17">
        <v>20</v>
      </c>
      <c r="G17" t="str">
        <f>VLOOKUP(A17,[1]inrix_key!$A:$C,3,FALSE)</f>
        <v>Pine_E</v>
      </c>
      <c r="H17">
        <f t="shared" si="0"/>
        <v>0.36112499999999942</v>
      </c>
    </row>
    <row r="18" spans="1:8" x14ac:dyDescent="0.25">
      <c r="A18">
        <v>448697009</v>
      </c>
      <c r="B18" t="s">
        <v>6</v>
      </c>
      <c r="C18">
        <v>7.1125000000000198E-3</v>
      </c>
      <c r="D18">
        <v>0.40823775525466799</v>
      </c>
      <c r="E18">
        <v>0.68766309974202</v>
      </c>
      <c r="F18">
        <v>20</v>
      </c>
      <c r="G18" t="str">
        <f>VLOOKUP(A18,[1]inrix_key!$A:$C,3,FALSE)</f>
        <v>Ustick_S</v>
      </c>
      <c r="H18">
        <f t="shared" si="0"/>
        <v>0.42675000000000118</v>
      </c>
    </row>
    <row r="19" spans="1:8" x14ac:dyDescent="0.25">
      <c r="A19">
        <v>448695754</v>
      </c>
      <c r="B19" t="s">
        <v>6</v>
      </c>
      <c r="C19">
        <v>8.6812500000000101E-3</v>
      </c>
      <c r="D19">
        <v>0.93138360772110096</v>
      </c>
      <c r="E19">
        <v>0.36333971247227398</v>
      </c>
      <c r="F19">
        <v>20</v>
      </c>
      <c r="G19" t="str">
        <f>VLOOKUP(A19,[1]inrix_key!$A:$C,3,FALSE)</f>
        <v>State_S</v>
      </c>
      <c r="H19">
        <f t="shared" si="0"/>
        <v>0.52087500000000064</v>
      </c>
    </row>
    <row r="20" spans="1:8" x14ac:dyDescent="0.25">
      <c r="A20">
        <v>448725597</v>
      </c>
      <c r="B20" t="s">
        <v>6</v>
      </c>
      <c r="C20">
        <v>9.6499999999999902E-3</v>
      </c>
      <c r="D20">
        <v>0.91770637556219103</v>
      </c>
      <c r="E20">
        <v>0.370275739753953</v>
      </c>
      <c r="F20">
        <v>20</v>
      </c>
      <c r="G20" t="str">
        <f>VLOOKUP(A20,[1]inrix_key!$A:$C,3,FALSE)</f>
        <v>Ustick_E</v>
      </c>
      <c r="H20">
        <f t="shared" si="0"/>
        <v>0.5789999999999994</v>
      </c>
    </row>
    <row r="21" spans="1:8" x14ac:dyDescent="0.25">
      <c r="A21">
        <v>448725595</v>
      </c>
      <c r="B21" t="s">
        <v>6</v>
      </c>
      <c r="C21">
        <v>1.58437499999999E-2</v>
      </c>
      <c r="D21">
        <v>1.9235028148901001</v>
      </c>
      <c r="E21">
        <v>6.9531961113479396E-2</v>
      </c>
      <c r="F21">
        <v>20</v>
      </c>
      <c r="G21" t="str">
        <f>VLOOKUP(A21,[1]inrix_key!$A:$C,3,FALSE)</f>
        <v>StLukes_S</v>
      </c>
      <c r="H21">
        <f t="shared" si="0"/>
        <v>0.95062499999999395</v>
      </c>
    </row>
    <row r="22" spans="1:8" x14ac:dyDescent="0.25">
      <c r="A22">
        <v>448697011</v>
      </c>
      <c r="B22" t="s">
        <v>6</v>
      </c>
      <c r="C22">
        <v>1.6206249999999998E-2</v>
      </c>
      <c r="D22">
        <v>2.3178676444423001</v>
      </c>
      <c r="E22">
        <v>3.1766216035546503E-2</v>
      </c>
      <c r="F22">
        <v>20</v>
      </c>
      <c r="G22" t="str">
        <f>VLOOKUP(A22,[1]inrix_key!$A:$C,3,FALSE)</f>
        <v>Fairview_N</v>
      </c>
      <c r="H22">
        <f t="shared" si="0"/>
        <v>0.97237499999999988</v>
      </c>
    </row>
    <row r="23" spans="1:8" x14ac:dyDescent="0.25">
      <c r="A23">
        <v>1187532837</v>
      </c>
      <c r="B23" t="s">
        <v>6</v>
      </c>
      <c r="C23">
        <v>1.6843750000000001E-2</v>
      </c>
      <c r="D23">
        <v>4.69161918351484</v>
      </c>
      <c r="E23">
        <v>1.5889970210238101E-4</v>
      </c>
      <c r="F23">
        <v>20</v>
      </c>
      <c r="G23" t="str">
        <f>VLOOKUP(A23,[1]inrix_key!$A:$C,3,FALSE)</f>
        <v>HobbleCreek_N</v>
      </c>
      <c r="H23">
        <f t="shared" si="0"/>
        <v>1.0106250000000001</v>
      </c>
    </row>
    <row r="24" spans="1:8" x14ac:dyDescent="0.25">
      <c r="A24">
        <v>448697010</v>
      </c>
      <c r="B24" t="s">
        <v>6</v>
      </c>
      <c r="C24">
        <v>1.9574999999999999E-2</v>
      </c>
      <c r="D24">
        <v>3.5378205920144801</v>
      </c>
      <c r="E24">
        <v>2.1982351047456598E-3</v>
      </c>
      <c r="F24">
        <v>20</v>
      </c>
      <c r="G24" t="str">
        <f>VLOOKUP(A24,[1]inrix_key!$A:$C,3,FALSE)</f>
        <v>RiverValley_N</v>
      </c>
      <c r="H24">
        <f t="shared" si="0"/>
        <v>1.1744999999999999</v>
      </c>
    </row>
    <row r="25" spans="1:8" x14ac:dyDescent="0.25">
      <c r="A25">
        <v>119269713</v>
      </c>
      <c r="B25" t="s">
        <v>6</v>
      </c>
      <c r="C25">
        <v>2.07416883555041E-2</v>
      </c>
      <c r="D25">
        <v>2.2052217153392202</v>
      </c>
      <c r="E25">
        <v>3.9958021205118301E-2</v>
      </c>
      <c r="F25">
        <v>20</v>
      </c>
      <c r="G25" t="str">
        <f>VLOOKUP(A25,[1]inrix_key!$A:$C,3,FALSE)</f>
        <v>Colchester_E</v>
      </c>
      <c r="H25">
        <f t="shared" si="0"/>
        <v>1.2445013013302459</v>
      </c>
    </row>
    <row r="26" spans="1:8" x14ac:dyDescent="0.25">
      <c r="A26">
        <v>1187334983</v>
      </c>
      <c r="B26" t="s">
        <v>6</v>
      </c>
      <c r="C26">
        <v>2.16374999999999E-2</v>
      </c>
      <c r="D26">
        <v>3.8301576570612399</v>
      </c>
      <c r="E26">
        <v>1.12929106979114E-3</v>
      </c>
      <c r="F26">
        <v>20</v>
      </c>
      <c r="G26" t="str">
        <f>VLOOKUP(A26,[1]inrix_key!$A:$C,3,FALSE)</f>
        <v>Wainwright_N</v>
      </c>
      <c r="H26">
        <f t="shared" si="0"/>
        <v>1.2982499999999939</v>
      </c>
    </row>
    <row r="27" spans="1:8" x14ac:dyDescent="0.25">
      <c r="A27">
        <v>384139881</v>
      </c>
      <c r="B27" t="s">
        <v>6</v>
      </c>
      <c r="C27">
        <v>2.1787500000000001E-2</v>
      </c>
      <c r="D27">
        <v>2.8647566995747802</v>
      </c>
      <c r="E27">
        <v>9.9166252280832208E-3</v>
      </c>
      <c r="F27">
        <v>20</v>
      </c>
      <c r="G27" t="str">
        <f>VLOOKUP(A27,[1]inrix_key!$A:$C,3,FALSE)</f>
        <v>Pine_W</v>
      </c>
      <c r="H27">
        <f t="shared" si="0"/>
        <v>1.30725</v>
      </c>
    </row>
    <row r="28" spans="1:8" x14ac:dyDescent="0.25">
      <c r="A28">
        <v>384121516</v>
      </c>
      <c r="B28" t="s">
        <v>6</v>
      </c>
      <c r="C28">
        <v>2.3549999999999901E-2</v>
      </c>
      <c r="D28">
        <v>4.9052608760380902</v>
      </c>
      <c r="E28" s="1">
        <v>9.8267059849408605E-5</v>
      </c>
      <c r="F28">
        <v>20</v>
      </c>
      <c r="G28" t="str">
        <f>VLOOKUP(A28,[1]inrix_key!$A:$C,3,FALSE)</f>
        <v>McMillan_W</v>
      </c>
      <c r="H28">
        <f t="shared" si="0"/>
        <v>1.412999999999994</v>
      </c>
    </row>
    <row r="29" spans="1:8" x14ac:dyDescent="0.25">
      <c r="A29">
        <v>119241469</v>
      </c>
      <c r="B29" t="s">
        <v>6</v>
      </c>
      <c r="C29">
        <v>2.4351465768493601E-2</v>
      </c>
      <c r="D29">
        <v>2.8640671977825698</v>
      </c>
      <c r="E29">
        <v>9.9316163953530896E-3</v>
      </c>
      <c r="F29">
        <v>20</v>
      </c>
      <c r="G29" t="str">
        <f>VLOOKUP(A29,[1]inrix_key!$A:$C,3,FALSE)</f>
        <v>Colchester_W</v>
      </c>
      <c r="H29">
        <f t="shared" si="0"/>
        <v>1.461087946109616</v>
      </c>
    </row>
    <row r="30" spans="1:8" x14ac:dyDescent="0.25">
      <c r="A30">
        <v>448697006</v>
      </c>
      <c r="B30" t="s">
        <v>6</v>
      </c>
      <c r="C30">
        <v>2.5206249999999899E-2</v>
      </c>
      <c r="D30">
        <v>2.9083033473889</v>
      </c>
      <c r="E30">
        <v>9.0126857534037208E-3</v>
      </c>
      <c r="F30">
        <v>20</v>
      </c>
      <c r="G30" t="str">
        <f>VLOOKUP(A30,[1]inrix_key!$A:$C,3,FALSE)</f>
        <v>StLukes_N</v>
      </c>
      <c r="H30">
        <f t="shared" si="0"/>
        <v>1.512374999999994</v>
      </c>
    </row>
    <row r="31" spans="1:8" x14ac:dyDescent="0.25">
      <c r="A31">
        <v>117503882</v>
      </c>
      <c r="B31" t="s">
        <v>6</v>
      </c>
      <c r="C31">
        <v>2.6131249999999901E-2</v>
      </c>
      <c r="D31">
        <v>4.1284745574937904</v>
      </c>
      <c r="E31">
        <v>5.7136732435586902E-4</v>
      </c>
      <c r="F31">
        <v>20</v>
      </c>
      <c r="G31" t="str">
        <f>VLOOKUP(A31,[1]inrix_key!$A:$C,3,FALSE)</f>
        <v>Franklin_E</v>
      </c>
      <c r="H31">
        <f t="shared" si="0"/>
        <v>1.5678749999999941</v>
      </c>
    </row>
    <row r="32" spans="1:8" x14ac:dyDescent="0.25">
      <c r="A32">
        <v>117772024</v>
      </c>
      <c r="B32" t="s">
        <v>6</v>
      </c>
      <c r="C32">
        <v>2.88716163222742E-2</v>
      </c>
      <c r="D32">
        <v>4.93386274009268</v>
      </c>
      <c r="E32" s="1">
        <v>9.2169040017472305E-5</v>
      </c>
      <c r="F32">
        <v>20</v>
      </c>
      <c r="G32" t="str">
        <f>VLOOKUP(A32,[1]inrix_key!$A:$C,3,FALSE)</f>
        <v>IslandWood_W</v>
      </c>
      <c r="H32">
        <f t="shared" si="0"/>
        <v>1.732296979336452</v>
      </c>
    </row>
    <row r="33" spans="1:8" x14ac:dyDescent="0.25">
      <c r="A33">
        <v>1187548987</v>
      </c>
      <c r="B33" t="s">
        <v>6</v>
      </c>
      <c r="C33">
        <v>2.9306249999999999E-2</v>
      </c>
      <c r="D33">
        <v>2.91624770759609</v>
      </c>
      <c r="E33">
        <v>8.8565696855930805E-3</v>
      </c>
      <c r="F33">
        <v>20</v>
      </c>
      <c r="G33" t="str">
        <f>VLOOKUP(A33,[1]inrix_key!$A:$C,3,FALSE)</f>
        <v>McMillan_S</v>
      </c>
      <c r="H33">
        <f t="shared" si="0"/>
        <v>1.758375</v>
      </c>
    </row>
    <row r="34" spans="1:8" x14ac:dyDescent="0.25">
      <c r="A34">
        <v>1187517040</v>
      </c>
      <c r="B34" t="s">
        <v>6</v>
      </c>
      <c r="C34">
        <v>3.09625E-2</v>
      </c>
      <c r="D34">
        <v>3.1136229887096301</v>
      </c>
      <c r="E34">
        <v>5.7187365309754202E-3</v>
      </c>
      <c r="F34">
        <v>20</v>
      </c>
      <c r="G34" t="str">
        <f>VLOOKUP(A34,[1]inrix_key!$A:$C,3,FALSE)</f>
        <v>Wainwright_S</v>
      </c>
      <c r="H34">
        <f t="shared" ref="H34:H65" si="1">60*C34</f>
        <v>1.85775</v>
      </c>
    </row>
    <row r="35" spans="1:8" x14ac:dyDescent="0.25">
      <c r="A35">
        <v>448694747</v>
      </c>
      <c r="B35" t="s">
        <v>6</v>
      </c>
      <c r="C35">
        <v>3.4131249999999898E-2</v>
      </c>
      <c r="D35">
        <v>6.25184820310609</v>
      </c>
      <c r="E35" s="1">
        <v>5.28213965454967E-6</v>
      </c>
      <c r="F35">
        <v>20</v>
      </c>
      <c r="G35" t="str">
        <f>VLOOKUP(A35,[1]inrix_key!$A:$C,3,FALSE)</f>
        <v>Fairview_W</v>
      </c>
      <c r="H35">
        <f t="shared" si="1"/>
        <v>2.0478749999999937</v>
      </c>
    </row>
    <row r="36" spans="1:8" x14ac:dyDescent="0.25">
      <c r="A36">
        <v>1187636735</v>
      </c>
      <c r="B36" t="s">
        <v>6</v>
      </c>
      <c r="C36">
        <v>3.4887500000000002E-2</v>
      </c>
      <c r="D36">
        <v>3.6605283105161401</v>
      </c>
      <c r="E36">
        <v>1.6627769371024199E-3</v>
      </c>
      <c r="F36">
        <v>20</v>
      </c>
      <c r="G36" t="str">
        <f>VLOOKUP(A36,[1]inrix_key!$A:$C,3,FALSE)</f>
        <v>WB_E</v>
      </c>
      <c r="H36">
        <f t="shared" si="1"/>
        <v>2.0932500000000003</v>
      </c>
    </row>
    <row r="37" spans="1:8" x14ac:dyDescent="0.25">
      <c r="A37">
        <v>119501618</v>
      </c>
      <c r="B37" t="s">
        <v>6</v>
      </c>
      <c r="C37">
        <v>3.8875E-2</v>
      </c>
      <c r="D37">
        <v>3.3837830632526198</v>
      </c>
      <c r="E37">
        <v>3.1166830823310399E-3</v>
      </c>
      <c r="F37">
        <v>20</v>
      </c>
      <c r="G37" t="str">
        <f>VLOOKUP(A37,[1]inrix_key!$A:$C,3,FALSE)</f>
        <v>McMillan_N</v>
      </c>
      <c r="H37">
        <f t="shared" si="1"/>
        <v>2.3325</v>
      </c>
    </row>
    <row r="38" spans="1:8" x14ac:dyDescent="0.25">
      <c r="A38">
        <v>1187579027</v>
      </c>
      <c r="B38" t="s">
        <v>6</v>
      </c>
      <c r="C38">
        <v>4.0831249999999999E-2</v>
      </c>
      <c r="D38">
        <v>8.3026535490496407</v>
      </c>
      <c r="E38" s="1">
        <v>9.6125559326159696E-8</v>
      </c>
      <c r="F38">
        <v>20</v>
      </c>
      <c r="G38" t="str">
        <f>VLOOKUP(A38,[1]inrix_key!$A:$C,3,FALSE)</f>
        <v>Fairview_E</v>
      </c>
      <c r="H38">
        <f t="shared" si="1"/>
        <v>2.449875</v>
      </c>
    </row>
    <row r="39" spans="1:8" x14ac:dyDescent="0.25">
      <c r="A39">
        <v>1187586311</v>
      </c>
      <c r="B39" t="s">
        <v>6</v>
      </c>
      <c r="C39">
        <v>4.4074999999999899E-2</v>
      </c>
      <c r="D39">
        <v>2.3560392158069798</v>
      </c>
      <c r="E39">
        <v>2.9363047625757199E-2</v>
      </c>
      <c r="F39">
        <v>20</v>
      </c>
      <c r="G39" t="str">
        <f>VLOOKUP(A39,[1]inrix_key!$A:$C,3,FALSE)</f>
        <v>EB_W</v>
      </c>
      <c r="H39">
        <f t="shared" si="1"/>
        <v>2.6444999999999941</v>
      </c>
    </row>
    <row r="40" spans="1:8" x14ac:dyDescent="0.25">
      <c r="A40">
        <v>1187549053</v>
      </c>
      <c r="B40" t="s">
        <v>6</v>
      </c>
      <c r="C40">
        <v>4.8531249999999998E-2</v>
      </c>
      <c r="D40">
        <v>4.5880063371594098</v>
      </c>
      <c r="E40">
        <v>2.00843223599049E-4</v>
      </c>
      <c r="F40">
        <v>20</v>
      </c>
      <c r="G40" t="str">
        <f>VLOOKUP(A40,[1]inrix_key!$A:$C,3,FALSE)</f>
        <v>HobbleCreek_S</v>
      </c>
      <c r="H40">
        <f t="shared" si="1"/>
        <v>2.9118749999999998</v>
      </c>
    </row>
    <row r="41" spans="1:8" x14ac:dyDescent="0.25">
      <c r="A41">
        <v>448725599</v>
      </c>
      <c r="B41" t="s">
        <v>6</v>
      </c>
      <c r="C41">
        <v>6.4456250000000007E-2</v>
      </c>
      <c r="D41">
        <v>3.6429274450903399</v>
      </c>
      <c r="E41">
        <v>1.7307883839065999E-3</v>
      </c>
      <c r="F41">
        <v>20</v>
      </c>
      <c r="G41" t="str">
        <f>VLOOKUP(A41,[1]inrix_key!$A:$C,3,FALSE)</f>
        <v>Chinden_S</v>
      </c>
      <c r="H41">
        <f t="shared" si="1"/>
        <v>3.8673750000000005</v>
      </c>
    </row>
    <row r="42" spans="1:8" x14ac:dyDescent="0.25">
      <c r="A42">
        <v>448695752</v>
      </c>
      <c r="B42" t="s">
        <v>6</v>
      </c>
      <c r="C42">
        <v>6.4749999999999905E-2</v>
      </c>
      <c r="D42">
        <v>6.4998307064299201</v>
      </c>
      <c r="E42" s="1">
        <v>3.1579464517101299E-6</v>
      </c>
      <c r="F42">
        <v>20</v>
      </c>
      <c r="G42" t="str">
        <f>VLOOKUP(A42,[1]inrix_key!$A:$C,3,FALSE)</f>
        <v>IslandWood_N</v>
      </c>
      <c r="H42">
        <f t="shared" si="1"/>
        <v>3.8849999999999945</v>
      </c>
    </row>
    <row r="43" spans="1:8" x14ac:dyDescent="0.25">
      <c r="A43">
        <v>448695751</v>
      </c>
      <c r="B43" t="s">
        <v>6</v>
      </c>
      <c r="C43">
        <v>6.5849999999999895E-2</v>
      </c>
      <c r="D43">
        <v>7.2384816917749699</v>
      </c>
      <c r="E43" s="1">
        <v>7.1629388577682003E-7</v>
      </c>
      <c r="F43">
        <v>20</v>
      </c>
      <c r="G43" t="str">
        <f>VLOOKUP(A43,[1]inrix_key!$A:$C,3,FALSE)</f>
        <v>Riverside_N</v>
      </c>
      <c r="H43">
        <f t="shared" si="1"/>
        <v>3.9509999999999939</v>
      </c>
    </row>
    <row r="44" spans="1:8" x14ac:dyDescent="0.25">
      <c r="A44">
        <v>1187548975</v>
      </c>
      <c r="B44" t="s">
        <v>6</v>
      </c>
      <c r="C44">
        <v>7.9487500000000003E-2</v>
      </c>
      <c r="D44">
        <v>2.5868914698032501</v>
      </c>
      <c r="E44">
        <v>1.8083665983681101E-2</v>
      </c>
      <c r="F44">
        <v>20</v>
      </c>
      <c r="G44" t="str">
        <f>VLOOKUP(A44,[1]inrix_key!$A:$C,3,FALSE)</f>
        <v>Pine_S</v>
      </c>
      <c r="H44">
        <f t="shared" si="1"/>
        <v>4.7692500000000004</v>
      </c>
    </row>
    <row r="45" spans="1:8" x14ac:dyDescent="0.25">
      <c r="A45">
        <v>1187327938</v>
      </c>
      <c r="B45" t="s">
        <v>6</v>
      </c>
      <c r="C45">
        <v>8.5062499999999999E-2</v>
      </c>
      <c r="D45">
        <v>4.7893082688486599</v>
      </c>
      <c r="E45">
        <v>1.2749678172884401E-4</v>
      </c>
      <c r="F45">
        <v>20</v>
      </c>
      <c r="G45" t="str">
        <f>VLOOKUP(A45,[1]inrix_key!$A:$C,3,FALSE)</f>
        <v>Franklin_W</v>
      </c>
      <c r="H45">
        <f t="shared" si="1"/>
        <v>5.1037499999999998</v>
      </c>
    </row>
    <row r="46" spans="1:8" x14ac:dyDescent="0.25">
      <c r="A46">
        <v>1187333665</v>
      </c>
      <c r="B46" t="s">
        <v>6</v>
      </c>
      <c r="C46">
        <v>0.11131874999999899</v>
      </c>
      <c r="D46">
        <v>4.0661555841230603</v>
      </c>
      <c r="E46">
        <v>6.5874035309290398E-4</v>
      </c>
      <c r="F46">
        <v>20</v>
      </c>
      <c r="G46" t="str">
        <f>VLOOKUP(A46,[1]inrix_key!$A:$C,3,FALSE)</f>
        <v>Chinden_N</v>
      </c>
      <c r="H46">
        <f t="shared" si="1"/>
        <v>6.6791249999999396</v>
      </c>
    </row>
    <row r="47" spans="1:8" x14ac:dyDescent="0.25">
      <c r="A47">
        <v>1187333605</v>
      </c>
      <c r="B47" t="s">
        <v>6</v>
      </c>
      <c r="C47">
        <v>0.111924999999999</v>
      </c>
      <c r="D47">
        <v>4.4301724168750898</v>
      </c>
      <c r="E47">
        <v>2.87318455271134E-4</v>
      </c>
      <c r="F47">
        <v>20</v>
      </c>
      <c r="G47" t="str">
        <f>VLOOKUP(A47,[1]inrix_key!$A:$C,3,FALSE)</f>
        <v>Colchester_N</v>
      </c>
      <c r="H47">
        <f t="shared" si="1"/>
        <v>6.7154999999999401</v>
      </c>
    </row>
    <row r="48" spans="1:8" x14ac:dyDescent="0.25">
      <c r="A48">
        <v>1187577122</v>
      </c>
      <c r="B48" t="s">
        <v>6</v>
      </c>
      <c r="C48">
        <v>0.13927500000000001</v>
      </c>
      <c r="D48">
        <v>4.67512925234925</v>
      </c>
      <c r="E48">
        <v>1.64927627322799E-4</v>
      </c>
      <c r="F48">
        <v>20</v>
      </c>
      <c r="G48" t="str">
        <f>VLOOKUP(A48,[1]inrix_key!$A:$C,3,FALSE)</f>
        <v>Chinden_E</v>
      </c>
      <c r="H48">
        <f t="shared" si="1"/>
        <v>8.3565000000000005</v>
      </c>
    </row>
    <row r="49" spans="1:8" x14ac:dyDescent="0.25">
      <c r="A49">
        <v>448695753</v>
      </c>
      <c r="B49" t="s">
        <v>6</v>
      </c>
      <c r="C49">
        <v>0.14026250000000001</v>
      </c>
      <c r="D49">
        <v>11.0028120645353</v>
      </c>
      <c r="E49" s="1">
        <v>1.1051841178925E-9</v>
      </c>
      <c r="F49">
        <v>20</v>
      </c>
      <c r="G49" t="str">
        <f>VLOOKUP(A49,[1]inrix_key!$A:$C,3,FALSE)</f>
        <v>Riverside_S</v>
      </c>
      <c r="H49">
        <f t="shared" si="1"/>
        <v>8.415750000000001</v>
      </c>
    </row>
    <row r="50" spans="1:8" x14ac:dyDescent="0.25">
      <c r="A50">
        <v>1187466917</v>
      </c>
      <c r="B50" t="s">
        <v>6</v>
      </c>
      <c r="C50">
        <v>0.163775</v>
      </c>
      <c r="D50">
        <v>7.3563730077019303</v>
      </c>
      <c r="E50" s="1">
        <v>5.6913741734342705E-7</v>
      </c>
      <c r="F50">
        <v>20</v>
      </c>
      <c r="G50" t="str">
        <f>VLOOKUP(A50,[1]inrix_key!$A:$C,3,FALSE)</f>
        <v>Colchester_S</v>
      </c>
      <c r="H50">
        <f t="shared" si="1"/>
        <v>9.8264999999999993</v>
      </c>
    </row>
    <row r="51" spans="1:8" x14ac:dyDescent="0.25">
      <c r="A51">
        <v>1187335042</v>
      </c>
      <c r="B51" t="s">
        <v>6</v>
      </c>
      <c r="C51">
        <v>0.16469375</v>
      </c>
      <c r="D51">
        <v>5.9437310149495399</v>
      </c>
      <c r="E51" s="1">
        <v>1.01204427314217E-5</v>
      </c>
      <c r="F51">
        <v>20</v>
      </c>
      <c r="G51" t="str">
        <f>VLOOKUP(A51,[1]inrix_key!$A:$C,3,FALSE)</f>
        <v>Ustick_N</v>
      </c>
      <c r="H51">
        <f t="shared" si="1"/>
        <v>9.8816249999999997</v>
      </c>
    </row>
    <row r="52" spans="1:8" x14ac:dyDescent="0.25">
      <c r="A52">
        <v>1187466896</v>
      </c>
      <c r="B52" t="s">
        <v>6</v>
      </c>
      <c r="C52">
        <v>0.20384374999999999</v>
      </c>
      <c r="D52">
        <v>7.2399859781746096</v>
      </c>
      <c r="E52" s="1">
        <v>7.1418663054902703E-7</v>
      </c>
      <c r="F52">
        <v>20</v>
      </c>
      <c r="G52" t="str">
        <f>VLOOKUP(A52,[1]inrix_key!$A:$C,3,FALSE)</f>
        <v>IslandWood_S</v>
      </c>
      <c r="H52">
        <f t="shared" si="1"/>
        <v>12.230625</v>
      </c>
    </row>
    <row r="53" spans="1:8" x14ac:dyDescent="0.25">
      <c r="A53">
        <v>1187612015</v>
      </c>
      <c r="B53" t="s">
        <v>6</v>
      </c>
      <c r="C53">
        <v>0.248025</v>
      </c>
      <c r="D53">
        <v>4.9109693000979604</v>
      </c>
      <c r="E53" s="1">
        <v>9.7018067933195499E-5</v>
      </c>
      <c r="F53">
        <v>20</v>
      </c>
      <c r="G53" t="str">
        <f>VLOOKUP(A53,[1]inrix_key!$A:$C,3,FALSE)</f>
        <v>Chinden_W</v>
      </c>
      <c r="H53">
        <f t="shared" si="1"/>
        <v>14.881499999999999</v>
      </c>
    </row>
    <row r="54" spans="1:8" x14ac:dyDescent="0.25">
      <c r="A54">
        <v>1187612015</v>
      </c>
      <c r="B54" t="s">
        <v>7</v>
      </c>
      <c r="C54">
        <v>-0.15350803502053501</v>
      </c>
      <c r="D54">
        <v>-6.6375828716927696</v>
      </c>
      <c r="E54" s="1">
        <v>9.5081366403236399E-5</v>
      </c>
      <c r="F54">
        <v>10</v>
      </c>
      <c r="G54" t="str">
        <f>VLOOKUP(A54,[1]inrix_key!$A:$C,3,FALSE)</f>
        <v>Chinden_W</v>
      </c>
      <c r="H54">
        <f t="shared" si="1"/>
        <v>-9.2104821012321008</v>
      </c>
    </row>
    <row r="55" spans="1:8" x14ac:dyDescent="0.25">
      <c r="A55">
        <v>448725597</v>
      </c>
      <c r="B55" t="s">
        <v>7</v>
      </c>
      <c r="C55">
        <v>-0.116725396825396</v>
      </c>
      <c r="D55">
        <v>-3.5664202054262302</v>
      </c>
      <c r="E55">
        <v>6.0580850252603896E-3</v>
      </c>
      <c r="F55">
        <v>10</v>
      </c>
      <c r="G55" t="str">
        <f>VLOOKUP(A55,[1]inrix_key!$A:$C,3,FALSE)</f>
        <v>Ustick_E</v>
      </c>
      <c r="H55">
        <f t="shared" si="1"/>
        <v>-7.0035238095237595</v>
      </c>
    </row>
    <row r="56" spans="1:8" x14ac:dyDescent="0.25">
      <c r="A56">
        <v>484366819</v>
      </c>
      <c r="B56" t="s">
        <v>7</v>
      </c>
      <c r="C56">
        <v>-4.5887301587301602E-2</v>
      </c>
      <c r="D56">
        <v>-3.38424387720202</v>
      </c>
      <c r="E56">
        <v>8.0724499574863998E-3</v>
      </c>
      <c r="F56">
        <v>10</v>
      </c>
      <c r="G56" t="str">
        <f>VLOOKUP(A56,[1]inrix_key!$A:$C,3,FALSE)</f>
        <v>Pine_E</v>
      </c>
      <c r="H56">
        <f t="shared" si="1"/>
        <v>-2.7532380952380962</v>
      </c>
    </row>
    <row r="57" spans="1:8" x14ac:dyDescent="0.25">
      <c r="A57">
        <v>1187586311</v>
      </c>
      <c r="B57" t="s">
        <v>7</v>
      </c>
      <c r="C57">
        <v>-4.4939690864690802E-2</v>
      </c>
      <c r="D57">
        <v>-1.7586562898883</v>
      </c>
      <c r="E57">
        <v>0.112500123947517</v>
      </c>
      <c r="F57">
        <v>10</v>
      </c>
      <c r="G57" t="str">
        <f>VLOOKUP(A57,[1]inrix_key!$A:$C,3,FALSE)</f>
        <v>EB_W</v>
      </c>
      <c r="H57">
        <f t="shared" si="1"/>
        <v>-2.696381451881448</v>
      </c>
    </row>
    <row r="58" spans="1:8" x14ac:dyDescent="0.25">
      <c r="A58">
        <v>1187579027</v>
      </c>
      <c r="B58" t="s">
        <v>7</v>
      </c>
      <c r="C58">
        <v>-4.4462251310780701E-2</v>
      </c>
      <c r="D58">
        <v>-2.3435966073343599</v>
      </c>
      <c r="E58">
        <v>4.3761717160501597E-2</v>
      </c>
      <c r="F58">
        <v>10</v>
      </c>
      <c r="G58" t="str">
        <f>VLOOKUP(A58,[1]inrix_key!$A:$C,3,FALSE)</f>
        <v>Fairview_E</v>
      </c>
      <c r="H58">
        <f t="shared" si="1"/>
        <v>-2.6677350786468419</v>
      </c>
    </row>
    <row r="59" spans="1:8" x14ac:dyDescent="0.25">
      <c r="A59">
        <v>119501618</v>
      </c>
      <c r="B59" t="s">
        <v>7</v>
      </c>
      <c r="C59">
        <v>-4.39142700436818E-2</v>
      </c>
      <c r="D59">
        <v>-4.1315793535975498</v>
      </c>
      <c r="E59">
        <v>2.55347015690526E-3</v>
      </c>
      <c r="F59">
        <v>10</v>
      </c>
      <c r="G59" t="str">
        <f>VLOOKUP(A59,[1]inrix_key!$A:$C,3,FALSE)</f>
        <v>McMillan_N</v>
      </c>
      <c r="H59">
        <f t="shared" si="1"/>
        <v>-2.6348562026209081</v>
      </c>
    </row>
    <row r="60" spans="1:8" x14ac:dyDescent="0.25">
      <c r="A60">
        <v>117503882</v>
      </c>
      <c r="B60" t="s">
        <v>7</v>
      </c>
      <c r="C60">
        <v>-4.2124567099567002E-2</v>
      </c>
      <c r="D60">
        <v>-1.3897649886455901</v>
      </c>
      <c r="E60">
        <v>0.19801389415446399</v>
      </c>
      <c r="F60">
        <v>10</v>
      </c>
      <c r="G60" t="str">
        <f>VLOOKUP(A60,[1]inrix_key!$A:$C,3,FALSE)</f>
        <v>Franklin_E</v>
      </c>
      <c r="H60">
        <f t="shared" si="1"/>
        <v>-2.52747402597402</v>
      </c>
    </row>
    <row r="61" spans="1:8" x14ac:dyDescent="0.25">
      <c r="A61">
        <v>484371307</v>
      </c>
      <c r="B61" t="s">
        <v>7</v>
      </c>
      <c r="C61">
        <v>-2.9010714285714199E-2</v>
      </c>
      <c r="D61">
        <v>-3.79762035772975</v>
      </c>
      <c r="E61">
        <v>4.2328062249217596E-3</v>
      </c>
      <c r="F61">
        <v>10</v>
      </c>
      <c r="G61" t="str">
        <f>VLOOKUP(A61,[1]inrix_key!$A:$C,3,FALSE)</f>
        <v>Pine_E</v>
      </c>
      <c r="H61">
        <f t="shared" si="1"/>
        <v>-1.7406428571428518</v>
      </c>
    </row>
    <row r="62" spans="1:8" x14ac:dyDescent="0.25">
      <c r="A62">
        <v>448695754</v>
      </c>
      <c r="B62" t="s">
        <v>7</v>
      </c>
      <c r="C62">
        <v>-2.7717486022749201E-2</v>
      </c>
      <c r="D62">
        <v>-2.1199122276896198</v>
      </c>
      <c r="E62">
        <v>6.3046574625273993E-2</v>
      </c>
      <c r="F62">
        <v>10</v>
      </c>
      <c r="G62" t="str">
        <f>VLOOKUP(A62,[1]inrix_key!$A:$C,3,FALSE)</f>
        <v>State_S</v>
      </c>
      <c r="H62">
        <f t="shared" si="1"/>
        <v>-1.6630491613649521</v>
      </c>
    </row>
    <row r="63" spans="1:8" x14ac:dyDescent="0.25">
      <c r="A63">
        <v>448694757</v>
      </c>
      <c r="B63" t="s">
        <v>7</v>
      </c>
      <c r="C63">
        <v>-2.17163003663003E-2</v>
      </c>
      <c r="D63">
        <v>-0.66638999023922196</v>
      </c>
      <c r="E63">
        <v>0.52187567787469502</v>
      </c>
      <c r="F63">
        <v>10</v>
      </c>
      <c r="G63" t="str">
        <f>VLOOKUP(A63,[1]inrix_key!$A:$C,3,FALSE)</f>
        <v>Ustick_W</v>
      </c>
      <c r="H63">
        <f t="shared" si="1"/>
        <v>-1.302978021978018</v>
      </c>
    </row>
    <row r="64" spans="1:8" x14ac:dyDescent="0.25">
      <c r="A64">
        <v>1187548975</v>
      </c>
      <c r="B64" t="s">
        <v>7</v>
      </c>
      <c r="C64">
        <v>-1.8188005127826999E-2</v>
      </c>
      <c r="D64">
        <v>-1.8933852468627099</v>
      </c>
      <c r="E64">
        <v>9.0843557822732499E-2</v>
      </c>
      <c r="F64">
        <v>10</v>
      </c>
      <c r="G64" t="str">
        <f>VLOOKUP(A64,[1]inrix_key!$A:$C,3,FALSE)</f>
        <v>Pine_S</v>
      </c>
      <c r="H64">
        <f t="shared" si="1"/>
        <v>-1.09128030766962</v>
      </c>
    </row>
    <row r="65" spans="1:8" x14ac:dyDescent="0.25">
      <c r="A65">
        <v>1187334983</v>
      </c>
      <c r="B65" t="s">
        <v>7</v>
      </c>
      <c r="C65">
        <v>-8.8989916516232608E-3</v>
      </c>
      <c r="D65">
        <v>-1.21737747931121</v>
      </c>
      <c r="E65">
        <v>0.25441619332703103</v>
      </c>
      <c r="F65">
        <v>10</v>
      </c>
      <c r="G65" t="str">
        <f>VLOOKUP(A65,[1]inrix_key!$A:$C,3,FALSE)</f>
        <v>Wainwright_N</v>
      </c>
      <c r="H65">
        <f t="shared" si="1"/>
        <v>-0.53393949909739569</v>
      </c>
    </row>
    <row r="66" spans="1:8" x14ac:dyDescent="0.25">
      <c r="A66">
        <v>384121516</v>
      </c>
      <c r="B66" t="s">
        <v>7</v>
      </c>
      <c r="C66">
        <v>-8.4375000000000006E-3</v>
      </c>
      <c r="D66">
        <v>-0.44824151235918103</v>
      </c>
      <c r="E66">
        <v>0.66752408753729298</v>
      </c>
      <c r="F66">
        <v>8</v>
      </c>
      <c r="G66" t="str">
        <f>VLOOKUP(A66,[1]inrix_key!$A:$C,3,FALSE)</f>
        <v>McMillan_W</v>
      </c>
      <c r="H66">
        <f t="shared" ref="H66:H97" si="2">60*C66</f>
        <v>-0.50625000000000009</v>
      </c>
    </row>
    <row r="67" spans="1:8" x14ac:dyDescent="0.25">
      <c r="A67">
        <v>1187327938</v>
      </c>
      <c r="B67" t="s">
        <v>7</v>
      </c>
      <c r="C67">
        <v>-3.8494283494283801E-3</v>
      </c>
      <c r="D67">
        <v>-0.22166760653001399</v>
      </c>
      <c r="E67">
        <v>0.82952057473523599</v>
      </c>
      <c r="F67">
        <v>10</v>
      </c>
      <c r="G67" t="str">
        <f>VLOOKUP(A67,[1]inrix_key!$A:$C,3,FALSE)</f>
        <v>Franklin_W</v>
      </c>
      <c r="H67">
        <f t="shared" si="2"/>
        <v>-0.23096570096570282</v>
      </c>
    </row>
    <row r="68" spans="1:8" x14ac:dyDescent="0.25">
      <c r="A68">
        <v>1187532837</v>
      </c>
      <c r="B68" t="s">
        <v>7</v>
      </c>
      <c r="C68">
        <v>-1.5761011863953101E-3</v>
      </c>
      <c r="D68">
        <v>-0.20840650339929201</v>
      </c>
      <c r="E68">
        <v>0.83955168349446696</v>
      </c>
      <c r="F68">
        <v>10</v>
      </c>
      <c r="G68" t="str">
        <f>VLOOKUP(A68,[1]inrix_key!$A:$C,3,FALSE)</f>
        <v>HobbleCreek_N</v>
      </c>
      <c r="H68">
        <f t="shared" si="2"/>
        <v>-9.4566071183718611E-2</v>
      </c>
    </row>
    <row r="69" spans="1:8" x14ac:dyDescent="0.25">
      <c r="A69">
        <v>484347992</v>
      </c>
      <c r="B69" t="s">
        <v>7</v>
      </c>
      <c r="C69">
        <v>-6.7979797979798005E-4</v>
      </c>
      <c r="D69">
        <v>-0.872630025621557</v>
      </c>
      <c r="E69">
        <v>0.405543800711967</v>
      </c>
      <c r="F69">
        <v>10</v>
      </c>
      <c r="G69">
        <f>VLOOKUP(A69,[1]inrix_key!$A:$C,3,FALSE)</f>
        <v>0</v>
      </c>
      <c r="H69">
        <f t="shared" si="2"/>
        <v>-4.0787878787878803E-2</v>
      </c>
    </row>
    <row r="70" spans="1:8" x14ac:dyDescent="0.25">
      <c r="A70">
        <v>448697007</v>
      </c>
      <c r="B70" t="s">
        <v>7</v>
      </c>
      <c r="C70">
        <v>4.9166666666665101E-4</v>
      </c>
      <c r="D70">
        <v>9.6328958154866501E-2</v>
      </c>
      <c r="E70">
        <v>0.92537022787294998</v>
      </c>
      <c r="F70">
        <v>10</v>
      </c>
      <c r="G70" t="str">
        <f>VLOOKUP(A70,[1]inrix_key!$A:$C,3,FALSE)</f>
        <v>WB_N</v>
      </c>
      <c r="H70">
        <f t="shared" si="2"/>
        <v>2.9499999999999062E-2</v>
      </c>
    </row>
    <row r="71" spans="1:8" x14ac:dyDescent="0.25">
      <c r="A71">
        <v>428958435</v>
      </c>
      <c r="B71" t="s">
        <v>7</v>
      </c>
      <c r="C71">
        <v>9.6528208633472E-4</v>
      </c>
      <c r="D71">
        <v>0.27107607342574802</v>
      </c>
      <c r="E71">
        <v>0.79244726578300795</v>
      </c>
      <c r="F71">
        <v>10</v>
      </c>
      <c r="G71">
        <f>VLOOKUP(A71,[1]inrix_key!$A:$C,3,FALSE)</f>
        <v>0</v>
      </c>
      <c r="H71">
        <f t="shared" si="2"/>
        <v>5.7916925180083199E-2</v>
      </c>
    </row>
    <row r="72" spans="1:8" x14ac:dyDescent="0.25">
      <c r="A72">
        <v>428958433</v>
      </c>
      <c r="B72" t="s">
        <v>7</v>
      </c>
      <c r="C72">
        <v>5.1176148412990499E-3</v>
      </c>
      <c r="D72">
        <v>4.1749954730957999</v>
      </c>
      <c r="E72">
        <v>2.3937998631161999E-3</v>
      </c>
      <c r="F72">
        <v>10</v>
      </c>
      <c r="G72" t="str">
        <f>VLOOKUP(A72,[1]inrix_key!$A:$C,3,FALSE)</f>
        <v>EB_S</v>
      </c>
      <c r="H72">
        <f t="shared" si="2"/>
        <v>0.30705689047794299</v>
      </c>
    </row>
    <row r="73" spans="1:8" x14ac:dyDescent="0.25">
      <c r="A73">
        <v>1187654609</v>
      </c>
      <c r="B73" t="s">
        <v>7</v>
      </c>
      <c r="C73">
        <v>5.3742481203007198E-3</v>
      </c>
      <c r="D73">
        <v>0.53778719108008999</v>
      </c>
      <c r="E73">
        <v>0.60376569733154395</v>
      </c>
      <c r="F73">
        <v>10</v>
      </c>
      <c r="G73" t="str">
        <f>VLOOKUP(A73,[1]inrix_key!$A:$C,3,FALSE)</f>
        <v>Pine_N</v>
      </c>
      <c r="H73">
        <f t="shared" si="2"/>
        <v>0.32245488721804316</v>
      </c>
    </row>
    <row r="74" spans="1:8" x14ac:dyDescent="0.25">
      <c r="A74">
        <v>1187548987</v>
      </c>
      <c r="B74" t="s">
        <v>7</v>
      </c>
      <c r="C74">
        <v>7.3220040966945101E-3</v>
      </c>
      <c r="D74">
        <v>0.85304457039085202</v>
      </c>
      <c r="E74">
        <v>0.415759103588769</v>
      </c>
      <c r="F74">
        <v>10</v>
      </c>
      <c r="G74" t="str">
        <f>VLOOKUP(A74,[1]inrix_key!$A:$C,3,FALSE)</f>
        <v>McMillan_S</v>
      </c>
      <c r="H74">
        <f t="shared" si="2"/>
        <v>0.43932024580167062</v>
      </c>
    </row>
    <row r="75" spans="1:8" x14ac:dyDescent="0.25">
      <c r="A75">
        <v>448725599</v>
      </c>
      <c r="B75" t="s">
        <v>7</v>
      </c>
      <c r="C75">
        <v>7.5091739529819998E-3</v>
      </c>
      <c r="D75">
        <v>1.53077639876454</v>
      </c>
      <c r="E75">
        <v>0.16018318048087599</v>
      </c>
      <c r="F75">
        <v>10</v>
      </c>
      <c r="G75" t="str">
        <f>VLOOKUP(A75,[1]inrix_key!$A:$C,3,FALSE)</f>
        <v>Chinden_S</v>
      </c>
      <c r="H75">
        <f t="shared" si="2"/>
        <v>0.45055043717891996</v>
      </c>
    </row>
    <row r="76" spans="1:8" x14ac:dyDescent="0.25">
      <c r="A76">
        <v>1187635580</v>
      </c>
      <c r="B76" t="s">
        <v>7</v>
      </c>
      <c r="C76">
        <v>7.5486373275847098E-3</v>
      </c>
      <c r="D76">
        <v>1.50072985499407</v>
      </c>
      <c r="E76">
        <v>0.16766514235402799</v>
      </c>
      <c r="F76">
        <v>10</v>
      </c>
      <c r="G76" t="str">
        <f>VLOOKUP(A76,[1]inrix_key!$A:$C,3,FALSE)</f>
        <v>WB_S</v>
      </c>
      <c r="H76">
        <f t="shared" si="2"/>
        <v>0.4529182396550826</v>
      </c>
    </row>
    <row r="77" spans="1:8" x14ac:dyDescent="0.25">
      <c r="A77">
        <v>1187636735</v>
      </c>
      <c r="B77" t="s">
        <v>7</v>
      </c>
      <c r="C77">
        <v>8.4992252114929993E-3</v>
      </c>
      <c r="D77">
        <v>1.7869757977960501</v>
      </c>
      <c r="E77">
        <v>0.107584074070899</v>
      </c>
      <c r="F77">
        <v>10</v>
      </c>
      <c r="G77" t="str">
        <f>VLOOKUP(A77,[1]inrix_key!$A:$C,3,FALSE)</f>
        <v>WB_E</v>
      </c>
      <c r="H77">
        <f t="shared" si="2"/>
        <v>0.50995351268958</v>
      </c>
    </row>
    <row r="78" spans="1:8" x14ac:dyDescent="0.25">
      <c r="A78">
        <v>448725596</v>
      </c>
      <c r="B78" t="s">
        <v>7</v>
      </c>
      <c r="C78">
        <v>9.8325661911188196E-3</v>
      </c>
      <c r="D78">
        <v>1.14058297725837</v>
      </c>
      <c r="E78">
        <v>0.283485123243849</v>
      </c>
      <c r="F78">
        <v>10</v>
      </c>
      <c r="G78" t="str">
        <f>VLOOKUP(A78,[1]inrix_key!$A:$C,3,FALSE)</f>
        <v>Franklin_S</v>
      </c>
      <c r="H78">
        <f t="shared" si="2"/>
        <v>0.58995397146712913</v>
      </c>
    </row>
    <row r="79" spans="1:8" x14ac:dyDescent="0.25">
      <c r="A79">
        <v>448725595</v>
      </c>
      <c r="B79" t="s">
        <v>7</v>
      </c>
      <c r="C79">
        <v>1.0219398656898601E-2</v>
      </c>
      <c r="D79">
        <v>2.0466419277547798</v>
      </c>
      <c r="E79">
        <v>7.0998394451634195E-2</v>
      </c>
      <c r="F79">
        <v>10</v>
      </c>
      <c r="G79" t="str">
        <f>VLOOKUP(A79,[1]inrix_key!$A:$C,3,FALSE)</f>
        <v>StLukes_S</v>
      </c>
      <c r="H79">
        <f t="shared" si="2"/>
        <v>0.61316391941391601</v>
      </c>
    </row>
    <row r="80" spans="1:8" x14ac:dyDescent="0.25">
      <c r="A80">
        <v>1187377510</v>
      </c>
      <c r="B80" t="s">
        <v>7</v>
      </c>
      <c r="C80">
        <v>1.21587732528909E-2</v>
      </c>
      <c r="D80">
        <v>2.2681898767436399</v>
      </c>
      <c r="E80">
        <v>4.9509361691600799E-2</v>
      </c>
      <c r="F80">
        <v>10</v>
      </c>
      <c r="G80" t="str">
        <f>VLOOKUP(A80,[1]inrix_key!$A:$C,3,FALSE)</f>
        <v>EB_S</v>
      </c>
      <c r="H80">
        <f t="shared" si="2"/>
        <v>0.72952639517345408</v>
      </c>
    </row>
    <row r="81" spans="1:8" x14ac:dyDescent="0.25">
      <c r="A81">
        <v>1187549053</v>
      </c>
      <c r="B81" t="s">
        <v>7</v>
      </c>
      <c r="C81">
        <v>1.2805092473745699E-2</v>
      </c>
      <c r="D81">
        <v>2.0256014148252302</v>
      </c>
      <c r="E81">
        <v>7.3454533439246503E-2</v>
      </c>
      <c r="F81">
        <v>10</v>
      </c>
      <c r="G81" t="str">
        <f>VLOOKUP(A81,[1]inrix_key!$A:$C,3,FALSE)</f>
        <v>HobbleCreek_S</v>
      </c>
      <c r="H81">
        <f t="shared" si="2"/>
        <v>0.76830554842474197</v>
      </c>
    </row>
    <row r="82" spans="1:8" x14ac:dyDescent="0.25">
      <c r="A82">
        <v>1187517040</v>
      </c>
      <c r="B82" t="s">
        <v>7</v>
      </c>
      <c r="C82">
        <v>1.7004012482185801E-2</v>
      </c>
      <c r="D82">
        <v>1.81028612886394</v>
      </c>
      <c r="E82">
        <v>0.103687828162743</v>
      </c>
      <c r="F82">
        <v>10</v>
      </c>
      <c r="G82" t="str">
        <f>VLOOKUP(A82,[1]inrix_key!$A:$C,3,FALSE)</f>
        <v>Wainwright_S</v>
      </c>
      <c r="H82">
        <f t="shared" si="2"/>
        <v>1.020240748931148</v>
      </c>
    </row>
    <row r="83" spans="1:8" x14ac:dyDescent="0.25">
      <c r="A83">
        <v>448697010</v>
      </c>
      <c r="B83" t="s">
        <v>7</v>
      </c>
      <c r="C83">
        <v>1.9020856104679601E-2</v>
      </c>
      <c r="D83">
        <v>2.7985516915913902</v>
      </c>
      <c r="E83">
        <v>2.0761701667661898E-2</v>
      </c>
      <c r="F83">
        <v>10</v>
      </c>
      <c r="G83" t="str">
        <f>VLOOKUP(A83,[1]inrix_key!$A:$C,3,FALSE)</f>
        <v>RiverValley_N</v>
      </c>
      <c r="H83">
        <f t="shared" si="2"/>
        <v>1.1412513662807759</v>
      </c>
    </row>
    <row r="84" spans="1:8" x14ac:dyDescent="0.25">
      <c r="A84">
        <v>1187466917</v>
      </c>
      <c r="B84" t="s">
        <v>7</v>
      </c>
      <c r="C84">
        <v>2.0175949953039701E-2</v>
      </c>
      <c r="D84">
        <v>3.4732135089962499</v>
      </c>
      <c r="E84">
        <v>7.0131525763033496E-3</v>
      </c>
      <c r="F84">
        <v>10</v>
      </c>
      <c r="G84" t="str">
        <f>VLOOKUP(A84,[1]inrix_key!$A:$C,3,FALSE)</f>
        <v>Colchester_S</v>
      </c>
      <c r="H84">
        <f t="shared" si="2"/>
        <v>1.210556997182382</v>
      </c>
    </row>
    <row r="85" spans="1:8" x14ac:dyDescent="0.25">
      <c r="A85">
        <v>448694747</v>
      </c>
      <c r="B85" t="s">
        <v>7</v>
      </c>
      <c r="C85">
        <v>2.02916638916638E-2</v>
      </c>
      <c r="D85">
        <v>1.4648819587041699</v>
      </c>
      <c r="E85">
        <v>0.17699262667712401</v>
      </c>
      <c r="F85">
        <v>10</v>
      </c>
      <c r="G85" t="str">
        <f>VLOOKUP(A85,[1]inrix_key!$A:$C,3,FALSE)</f>
        <v>Fairview_W</v>
      </c>
      <c r="H85">
        <f t="shared" si="2"/>
        <v>1.2174998334998279</v>
      </c>
    </row>
    <row r="86" spans="1:8" x14ac:dyDescent="0.25">
      <c r="A86">
        <v>1187333665</v>
      </c>
      <c r="B86" t="s">
        <v>7</v>
      </c>
      <c r="C86">
        <v>2.1667798867798901E-2</v>
      </c>
      <c r="D86">
        <v>1.00114882187362</v>
      </c>
      <c r="E86">
        <v>0.34291023772276602</v>
      </c>
      <c r="F86">
        <v>10</v>
      </c>
      <c r="G86" t="str">
        <f>VLOOKUP(A86,[1]inrix_key!$A:$C,3,FALSE)</f>
        <v>Chinden_N</v>
      </c>
      <c r="H86">
        <f t="shared" si="2"/>
        <v>1.300067932067934</v>
      </c>
    </row>
    <row r="87" spans="1:8" x14ac:dyDescent="0.25">
      <c r="A87">
        <v>428958434</v>
      </c>
      <c r="B87" t="s">
        <v>7</v>
      </c>
      <c r="C87">
        <v>2.21940359563037E-2</v>
      </c>
      <c r="D87">
        <v>4.0377991574571297</v>
      </c>
      <c r="E87">
        <v>2.9383047615153201E-3</v>
      </c>
      <c r="F87">
        <v>10</v>
      </c>
      <c r="G87">
        <f>VLOOKUP(A87,[1]inrix_key!$A:$C,3,FALSE)</f>
        <v>0</v>
      </c>
      <c r="H87">
        <f t="shared" si="2"/>
        <v>1.331642157378222</v>
      </c>
    </row>
    <row r="88" spans="1:8" x14ac:dyDescent="0.25">
      <c r="A88">
        <v>448697011</v>
      </c>
      <c r="B88" t="s">
        <v>7</v>
      </c>
      <c r="C88">
        <v>2.2973795348098701E-2</v>
      </c>
      <c r="D88">
        <v>2.3615331924532001</v>
      </c>
      <c r="E88">
        <v>4.2494480538806702E-2</v>
      </c>
      <c r="F88">
        <v>10</v>
      </c>
      <c r="G88" t="str">
        <f>VLOOKUP(A88,[1]inrix_key!$A:$C,3,FALSE)</f>
        <v>Fairview_N</v>
      </c>
      <c r="H88">
        <f t="shared" si="2"/>
        <v>1.3784277208859221</v>
      </c>
    </row>
    <row r="89" spans="1:8" x14ac:dyDescent="0.25">
      <c r="A89">
        <v>448695753</v>
      </c>
      <c r="B89" t="s">
        <v>7</v>
      </c>
      <c r="C89">
        <v>2.4383595352016299E-2</v>
      </c>
      <c r="D89">
        <v>2.7728025060234698</v>
      </c>
      <c r="E89">
        <v>2.1654061025954002E-2</v>
      </c>
      <c r="F89">
        <v>10</v>
      </c>
      <c r="G89" t="str">
        <f>VLOOKUP(A89,[1]inrix_key!$A:$C,3,FALSE)</f>
        <v>Riverside_S</v>
      </c>
      <c r="H89">
        <f t="shared" si="2"/>
        <v>1.463015721120978</v>
      </c>
    </row>
    <row r="90" spans="1:8" x14ac:dyDescent="0.25">
      <c r="A90">
        <v>1187654588</v>
      </c>
      <c r="B90" t="s">
        <v>7</v>
      </c>
      <c r="C90">
        <v>2.5967690058479501E-2</v>
      </c>
      <c r="D90">
        <v>2.8155132680216801</v>
      </c>
      <c r="E90">
        <v>2.01944122400965E-2</v>
      </c>
      <c r="F90">
        <v>10</v>
      </c>
      <c r="G90" t="str">
        <f>VLOOKUP(A90,[1]inrix_key!$A:$C,3,FALSE)</f>
        <v>Franklin_N</v>
      </c>
      <c r="H90">
        <f t="shared" si="2"/>
        <v>1.5580614035087701</v>
      </c>
    </row>
    <row r="91" spans="1:8" x14ac:dyDescent="0.25">
      <c r="A91">
        <v>1187466896</v>
      </c>
      <c r="B91" t="s">
        <v>7</v>
      </c>
      <c r="C91">
        <v>2.6467772990683199E-2</v>
      </c>
      <c r="D91">
        <v>1.9583682257949799</v>
      </c>
      <c r="E91">
        <v>8.1858802401191505E-2</v>
      </c>
      <c r="F91">
        <v>10</v>
      </c>
      <c r="G91" t="str">
        <f>VLOOKUP(A91,[1]inrix_key!$A:$C,3,FALSE)</f>
        <v>IslandWood_S</v>
      </c>
      <c r="H91">
        <f t="shared" si="2"/>
        <v>1.5880663794409919</v>
      </c>
    </row>
    <row r="92" spans="1:8" x14ac:dyDescent="0.25">
      <c r="A92">
        <v>448697006</v>
      </c>
      <c r="B92" t="s">
        <v>7</v>
      </c>
      <c r="C92">
        <v>2.7422681704260599E-2</v>
      </c>
      <c r="D92">
        <v>7.53839064309736</v>
      </c>
      <c r="E92" s="1">
        <v>3.54722853398482E-5</v>
      </c>
      <c r="F92">
        <v>10</v>
      </c>
      <c r="G92" t="str">
        <f>VLOOKUP(A92,[1]inrix_key!$A:$C,3,FALSE)</f>
        <v>StLukes_N</v>
      </c>
      <c r="H92">
        <f t="shared" si="2"/>
        <v>1.6453609022556359</v>
      </c>
    </row>
    <row r="93" spans="1:8" x14ac:dyDescent="0.25">
      <c r="A93">
        <v>474871675</v>
      </c>
      <c r="B93" t="s">
        <v>7</v>
      </c>
      <c r="C93">
        <v>3.1499999999999903E-2</v>
      </c>
      <c r="D93">
        <v>0.95476466351712297</v>
      </c>
      <c r="E93">
        <v>0.39376339938217197</v>
      </c>
      <c r="F93">
        <v>5</v>
      </c>
      <c r="G93" t="str">
        <f>VLOOKUP(A93,[1]inrix_key!$A:$C,3,FALSE)</f>
        <v>McMillan_E</v>
      </c>
      <c r="H93">
        <f t="shared" si="2"/>
        <v>1.8899999999999941</v>
      </c>
    </row>
    <row r="94" spans="1:8" x14ac:dyDescent="0.25">
      <c r="A94">
        <v>1187335042</v>
      </c>
      <c r="B94" t="s">
        <v>7</v>
      </c>
      <c r="C94">
        <v>3.34383253442464E-2</v>
      </c>
      <c r="D94">
        <v>2.9310582524822801</v>
      </c>
      <c r="E94">
        <v>1.6728192420090399E-2</v>
      </c>
      <c r="F94">
        <v>10</v>
      </c>
      <c r="G94" t="str">
        <f>VLOOKUP(A94,[1]inrix_key!$A:$C,3,FALSE)</f>
        <v>Ustick_N</v>
      </c>
      <c r="H94">
        <f t="shared" si="2"/>
        <v>2.006299520654784</v>
      </c>
    </row>
    <row r="95" spans="1:8" x14ac:dyDescent="0.25">
      <c r="A95">
        <v>448695752</v>
      </c>
      <c r="B95" t="s">
        <v>7</v>
      </c>
      <c r="C95">
        <v>3.3695959595959599E-2</v>
      </c>
      <c r="D95">
        <v>2.0065225975696599</v>
      </c>
      <c r="E95">
        <v>7.5751811706112601E-2</v>
      </c>
      <c r="F95">
        <v>10</v>
      </c>
      <c r="G95" t="str">
        <f>VLOOKUP(A95,[1]inrix_key!$A:$C,3,FALSE)</f>
        <v>IslandWood_N</v>
      </c>
      <c r="H95">
        <f t="shared" si="2"/>
        <v>2.0217575757575759</v>
      </c>
    </row>
    <row r="96" spans="1:8" x14ac:dyDescent="0.25">
      <c r="A96">
        <v>448695751</v>
      </c>
      <c r="B96" t="s">
        <v>7</v>
      </c>
      <c r="C96">
        <v>3.3716847041846999E-2</v>
      </c>
      <c r="D96">
        <v>3.06921976650482</v>
      </c>
      <c r="E96">
        <v>1.3370845280509599E-2</v>
      </c>
      <c r="F96">
        <v>10</v>
      </c>
      <c r="G96" t="str">
        <f>VLOOKUP(A96,[1]inrix_key!$A:$C,3,FALSE)</f>
        <v>Riverside_N</v>
      </c>
      <c r="H96">
        <f t="shared" si="2"/>
        <v>2.0230108225108201</v>
      </c>
    </row>
    <row r="97" spans="1:8" x14ac:dyDescent="0.25">
      <c r="A97">
        <v>1187333605</v>
      </c>
      <c r="B97" t="s">
        <v>7</v>
      </c>
      <c r="C97">
        <v>3.8229260651629099E-2</v>
      </c>
      <c r="D97">
        <v>2.2185246887165699</v>
      </c>
      <c r="E97">
        <v>5.3693169602289703E-2</v>
      </c>
      <c r="F97">
        <v>10</v>
      </c>
      <c r="G97" t="str">
        <f>VLOOKUP(A97,[1]inrix_key!$A:$C,3,FALSE)</f>
        <v>Colchester_N</v>
      </c>
      <c r="H97">
        <f t="shared" si="2"/>
        <v>2.2937556390977458</v>
      </c>
    </row>
    <row r="98" spans="1:8" x14ac:dyDescent="0.25">
      <c r="A98">
        <v>1187577122</v>
      </c>
      <c r="B98" t="s">
        <v>7</v>
      </c>
      <c r="C98">
        <v>4.1901168031315002E-2</v>
      </c>
      <c r="D98">
        <v>2.1384525420185199</v>
      </c>
      <c r="E98">
        <v>6.1175001100125102E-2</v>
      </c>
      <c r="F98">
        <v>10</v>
      </c>
      <c r="G98" t="str">
        <f>VLOOKUP(A98,[1]inrix_key!$A:$C,3,FALSE)</f>
        <v>Chinden_E</v>
      </c>
      <c r="H98">
        <f t="shared" ref="H98:H129" si="3">60*C98</f>
        <v>2.5140700818788999</v>
      </c>
    </row>
    <row r="99" spans="1:8" x14ac:dyDescent="0.25">
      <c r="A99">
        <v>448697009</v>
      </c>
      <c r="B99" t="s">
        <v>7</v>
      </c>
      <c r="C99">
        <v>4.48264542389155E-2</v>
      </c>
      <c r="D99">
        <v>11.158999591170501</v>
      </c>
      <c r="E99" s="1">
        <v>1.4262693129369E-6</v>
      </c>
      <c r="F99">
        <v>10</v>
      </c>
      <c r="G99" t="str">
        <f>VLOOKUP(A99,[1]inrix_key!$A:$C,3,FALSE)</f>
        <v>Ustick_S</v>
      </c>
      <c r="H99">
        <f t="shared" si="3"/>
        <v>2.68958725433493</v>
      </c>
    </row>
    <row r="100" spans="1:8" x14ac:dyDescent="0.25">
      <c r="A100">
        <v>448697008</v>
      </c>
      <c r="B100" t="s">
        <v>7</v>
      </c>
      <c r="C100">
        <v>4.5151453057606303E-2</v>
      </c>
      <c r="D100">
        <v>5.1018233000267301</v>
      </c>
      <c r="E100">
        <v>6.4356622944955596E-4</v>
      </c>
      <c r="F100">
        <v>10</v>
      </c>
      <c r="G100" t="str">
        <f>VLOOKUP(A100,[1]inrix_key!$A:$C,3,FALSE)</f>
        <v>RiverValley_S</v>
      </c>
      <c r="H100">
        <f t="shared" si="3"/>
        <v>2.7090871834563783</v>
      </c>
    </row>
    <row r="101" spans="1:8" x14ac:dyDescent="0.25">
      <c r="A101">
        <v>117772024</v>
      </c>
      <c r="B101" t="s">
        <v>7</v>
      </c>
      <c r="C101">
        <v>4.9999999999999899E-2</v>
      </c>
      <c r="F101">
        <v>1</v>
      </c>
      <c r="G101" t="str">
        <f>VLOOKUP(A101,[1]inrix_key!$A:$C,3,FALSE)</f>
        <v>IslandWood_W</v>
      </c>
      <c r="H101">
        <f t="shared" si="3"/>
        <v>2.9999999999999938</v>
      </c>
    </row>
    <row r="102" spans="1:8" x14ac:dyDescent="0.25">
      <c r="A102">
        <v>1187548947</v>
      </c>
      <c r="B102" t="s">
        <v>7</v>
      </c>
      <c r="C102">
        <v>5.4460555328744102E-2</v>
      </c>
      <c r="D102">
        <v>6.8453252112799401</v>
      </c>
      <c r="E102" s="1">
        <v>7.5126292399681696E-5</v>
      </c>
      <c r="F102">
        <v>10</v>
      </c>
      <c r="G102" t="str">
        <f>VLOOKUP(A102,[1]inrix_key!$A:$C,3,FALSE)</f>
        <v>Fairview_S</v>
      </c>
      <c r="H102">
        <f t="shared" si="3"/>
        <v>3.2676333197246463</v>
      </c>
    </row>
    <row r="103" spans="1:8" x14ac:dyDescent="0.25">
      <c r="A103">
        <v>384139881</v>
      </c>
      <c r="B103" t="s">
        <v>7</v>
      </c>
      <c r="C103">
        <v>9.7559595959595805E-2</v>
      </c>
      <c r="D103">
        <v>3.3348166190081701</v>
      </c>
      <c r="E103">
        <v>8.7318879633905208E-3</v>
      </c>
      <c r="F103">
        <v>10</v>
      </c>
      <c r="G103" t="str">
        <f>VLOOKUP(A103,[1]inrix_key!$A:$C,3,FALSE)</f>
        <v>Pine_W</v>
      </c>
      <c r="H103">
        <f t="shared" si="3"/>
        <v>5.8535757575757481</v>
      </c>
    </row>
    <row r="104" spans="1:8" x14ac:dyDescent="0.25">
      <c r="A104">
        <v>448697008</v>
      </c>
      <c r="B104" t="s">
        <v>8</v>
      </c>
      <c r="C104">
        <v>-9.2249999999999999E-2</v>
      </c>
      <c r="D104">
        <v>-3.1524698415705501</v>
      </c>
      <c r="E104">
        <v>1.6096491227606799E-2</v>
      </c>
      <c r="F104">
        <v>8</v>
      </c>
      <c r="G104" t="str">
        <f>VLOOKUP(A104,[1]inrix_key!$A:$C,3,FALSE)</f>
        <v>RiverValley_S</v>
      </c>
      <c r="H104">
        <f t="shared" si="3"/>
        <v>-5.5350000000000001</v>
      </c>
    </row>
    <row r="105" spans="1:8" x14ac:dyDescent="0.25">
      <c r="A105">
        <v>1187586311</v>
      </c>
      <c r="B105" t="s">
        <v>8</v>
      </c>
      <c r="C105">
        <v>-3.7296875E-2</v>
      </c>
      <c r="D105">
        <v>-1.5604239038901599</v>
      </c>
      <c r="E105">
        <v>0.16262640548992</v>
      </c>
      <c r="F105">
        <v>8</v>
      </c>
      <c r="G105" t="str">
        <f>VLOOKUP(A105,[1]inrix_key!$A:$C,3,FALSE)</f>
        <v>EB_W</v>
      </c>
      <c r="H105">
        <f t="shared" si="3"/>
        <v>-2.2378125</v>
      </c>
    </row>
    <row r="106" spans="1:8" x14ac:dyDescent="0.25">
      <c r="A106">
        <v>1187548947</v>
      </c>
      <c r="B106" t="s">
        <v>8</v>
      </c>
      <c r="C106">
        <v>-3.4328125000000001E-2</v>
      </c>
      <c r="D106">
        <v>-2.0321260343338801</v>
      </c>
      <c r="E106">
        <v>8.1656204175813804E-2</v>
      </c>
      <c r="F106">
        <v>8</v>
      </c>
      <c r="G106" t="str">
        <f>VLOOKUP(A106,[1]inrix_key!$A:$C,3,FALSE)</f>
        <v>Fairview_S</v>
      </c>
      <c r="H106">
        <f t="shared" si="3"/>
        <v>-2.0596874999999999</v>
      </c>
    </row>
    <row r="107" spans="1:8" x14ac:dyDescent="0.25">
      <c r="A107">
        <v>1187654609</v>
      </c>
      <c r="B107" t="s">
        <v>8</v>
      </c>
      <c r="C107">
        <v>-3.1406249999999997E-2</v>
      </c>
      <c r="D107">
        <v>-1.9071680287728701</v>
      </c>
      <c r="E107">
        <v>9.8165662022810601E-2</v>
      </c>
      <c r="F107">
        <v>8</v>
      </c>
      <c r="G107" t="str">
        <f>VLOOKUP(A107,[1]inrix_key!$A:$C,3,FALSE)</f>
        <v>Pine_N</v>
      </c>
      <c r="H107">
        <f t="shared" si="3"/>
        <v>-1.8843749999999999</v>
      </c>
    </row>
    <row r="108" spans="1:8" x14ac:dyDescent="0.25">
      <c r="A108">
        <v>448697009</v>
      </c>
      <c r="B108" t="s">
        <v>8</v>
      </c>
      <c r="C108">
        <v>-2.9156249999999901E-2</v>
      </c>
      <c r="D108">
        <v>-1.36841119234607</v>
      </c>
      <c r="E108">
        <v>0.21348248042738799</v>
      </c>
      <c r="F108">
        <v>8</v>
      </c>
      <c r="G108" t="str">
        <f>VLOOKUP(A108,[1]inrix_key!$A:$C,3,FALSE)</f>
        <v>Ustick_S</v>
      </c>
      <c r="H108">
        <f t="shared" si="3"/>
        <v>-1.7493749999999941</v>
      </c>
    </row>
    <row r="109" spans="1:8" x14ac:dyDescent="0.25">
      <c r="A109">
        <v>448697011</v>
      </c>
      <c r="B109" t="s">
        <v>8</v>
      </c>
      <c r="C109">
        <v>-2.25781249999999E-2</v>
      </c>
      <c r="D109">
        <v>-5.3018687967655298</v>
      </c>
      <c r="E109">
        <v>1.1210919539918101E-3</v>
      </c>
      <c r="F109">
        <v>8</v>
      </c>
      <c r="G109" t="str">
        <f>VLOOKUP(A109,[1]inrix_key!$A:$C,3,FALSE)</f>
        <v>Fairview_N</v>
      </c>
      <c r="H109">
        <f t="shared" si="3"/>
        <v>-1.354687499999994</v>
      </c>
    </row>
    <row r="110" spans="1:8" x14ac:dyDescent="0.25">
      <c r="A110">
        <v>119241469</v>
      </c>
      <c r="B110" t="s">
        <v>8</v>
      </c>
      <c r="C110">
        <v>-1.7461596700083501E-2</v>
      </c>
      <c r="D110">
        <v>-1.6976483975714101</v>
      </c>
      <c r="E110">
        <v>0.133384046449671</v>
      </c>
      <c r="F110">
        <v>8</v>
      </c>
      <c r="G110" t="str">
        <f>VLOOKUP(A110,[1]inrix_key!$A:$C,3,FALSE)</f>
        <v>Colchester_W</v>
      </c>
      <c r="H110">
        <f t="shared" si="3"/>
        <v>-1.04769580200501</v>
      </c>
    </row>
    <row r="111" spans="1:8" x14ac:dyDescent="0.25">
      <c r="A111">
        <v>428958434</v>
      </c>
      <c r="B111" t="s">
        <v>8</v>
      </c>
      <c r="C111">
        <v>-8.5937500000000007E-3</v>
      </c>
      <c r="D111">
        <v>-0.45653006828222797</v>
      </c>
      <c r="E111">
        <v>0.66183688265541296</v>
      </c>
      <c r="F111">
        <v>8</v>
      </c>
      <c r="G111">
        <f>VLOOKUP(A111,[1]inrix_key!$A:$C,3,FALSE)</f>
        <v>0</v>
      </c>
      <c r="H111">
        <f t="shared" si="3"/>
        <v>-0.515625</v>
      </c>
    </row>
    <row r="112" spans="1:8" x14ac:dyDescent="0.25">
      <c r="A112">
        <v>1187636735</v>
      </c>
      <c r="B112" t="s">
        <v>8</v>
      </c>
      <c r="C112">
        <v>-4.5000000000000101E-3</v>
      </c>
      <c r="D112">
        <v>-0.25660663820655499</v>
      </c>
      <c r="E112">
        <v>0.80486091111387403</v>
      </c>
      <c r="F112">
        <v>8</v>
      </c>
      <c r="G112" t="str">
        <f>VLOOKUP(A112,[1]inrix_key!$A:$C,3,FALSE)</f>
        <v>WB_E</v>
      </c>
      <c r="H112">
        <f t="shared" si="3"/>
        <v>-0.27000000000000063</v>
      </c>
    </row>
    <row r="113" spans="1:8" x14ac:dyDescent="0.25">
      <c r="A113">
        <v>384139881</v>
      </c>
      <c r="B113" t="s">
        <v>8</v>
      </c>
      <c r="C113">
        <v>-4.3281250000000099E-3</v>
      </c>
      <c r="D113">
        <v>-0.64367227851646003</v>
      </c>
      <c r="E113">
        <v>0.54029509476013204</v>
      </c>
      <c r="F113">
        <v>8</v>
      </c>
      <c r="G113" t="str">
        <f>VLOOKUP(A113,[1]inrix_key!$A:$C,3,FALSE)</f>
        <v>Pine_W</v>
      </c>
      <c r="H113">
        <f t="shared" si="3"/>
        <v>-0.25968750000000057</v>
      </c>
    </row>
    <row r="114" spans="1:8" x14ac:dyDescent="0.25">
      <c r="A114">
        <v>484347992</v>
      </c>
      <c r="B114" t="s">
        <v>8</v>
      </c>
      <c r="C114">
        <v>-6.2500000000000099E-4</v>
      </c>
      <c r="D114">
        <v>-1.68345124585359</v>
      </c>
      <c r="E114">
        <v>0.136163325211244</v>
      </c>
      <c r="F114">
        <v>8</v>
      </c>
      <c r="G114">
        <f>VLOOKUP(A114,[1]inrix_key!$A:$C,3,FALSE)</f>
        <v>0</v>
      </c>
      <c r="H114">
        <f t="shared" si="3"/>
        <v>-3.7500000000000061E-2</v>
      </c>
    </row>
    <row r="115" spans="1:8" x14ac:dyDescent="0.25">
      <c r="A115">
        <v>484366819</v>
      </c>
      <c r="B115" t="s">
        <v>8</v>
      </c>
      <c r="C115">
        <v>2.8124999999999999E-3</v>
      </c>
      <c r="D115">
        <v>0.92740568563386205</v>
      </c>
      <c r="E115">
        <v>0.38457757065105902</v>
      </c>
      <c r="F115">
        <v>8</v>
      </c>
      <c r="G115" t="str">
        <f>VLOOKUP(A115,[1]inrix_key!$A:$C,3,FALSE)</f>
        <v>Pine_E</v>
      </c>
      <c r="H115">
        <f t="shared" si="3"/>
        <v>0.16874999999999998</v>
      </c>
    </row>
    <row r="116" spans="1:8" x14ac:dyDescent="0.25">
      <c r="A116">
        <v>474871675</v>
      </c>
      <c r="B116" t="s">
        <v>8</v>
      </c>
      <c r="C116">
        <v>5.7031249999999799E-3</v>
      </c>
      <c r="D116">
        <v>1.54020974639721</v>
      </c>
      <c r="E116">
        <v>0.167405920565769</v>
      </c>
      <c r="F116">
        <v>8</v>
      </c>
      <c r="G116" t="str">
        <f>VLOOKUP(A116,[1]inrix_key!$A:$C,3,FALSE)</f>
        <v>McMillan_E</v>
      </c>
      <c r="H116">
        <f t="shared" si="3"/>
        <v>0.34218749999999881</v>
      </c>
    </row>
    <row r="117" spans="1:8" x14ac:dyDescent="0.25">
      <c r="A117">
        <v>1187517040</v>
      </c>
      <c r="B117" t="s">
        <v>8</v>
      </c>
      <c r="C117">
        <v>5.9218750000000001E-3</v>
      </c>
      <c r="D117">
        <v>1.53826467304895</v>
      </c>
      <c r="E117">
        <v>0.16787256896887701</v>
      </c>
      <c r="F117">
        <v>8</v>
      </c>
      <c r="G117" t="str">
        <f>VLOOKUP(A117,[1]inrix_key!$A:$C,3,FALSE)</f>
        <v>Wainwright_S</v>
      </c>
      <c r="H117">
        <f t="shared" si="3"/>
        <v>0.35531250000000003</v>
      </c>
    </row>
    <row r="118" spans="1:8" x14ac:dyDescent="0.25">
      <c r="A118">
        <v>484371307</v>
      </c>
      <c r="B118" t="s">
        <v>8</v>
      </c>
      <c r="C118">
        <v>7.9843749999999793E-3</v>
      </c>
      <c r="D118">
        <v>3.0227011763222</v>
      </c>
      <c r="E118">
        <v>1.93125173909738E-2</v>
      </c>
      <c r="F118">
        <v>8</v>
      </c>
      <c r="G118" t="str">
        <f>VLOOKUP(A118,[1]inrix_key!$A:$C,3,FALSE)</f>
        <v>Pine_E</v>
      </c>
      <c r="H118">
        <f t="shared" si="3"/>
        <v>0.47906249999999878</v>
      </c>
    </row>
    <row r="119" spans="1:8" x14ac:dyDescent="0.25">
      <c r="A119">
        <v>428958433</v>
      </c>
      <c r="B119" t="s">
        <v>8</v>
      </c>
      <c r="C119">
        <v>9.1718749999999995E-3</v>
      </c>
      <c r="D119">
        <v>1.5593317039393</v>
      </c>
      <c r="E119">
        <v>0.162881402916913</v>
      </c>
      <c r="F119">
        <v>8</v>
      </c>
      <c r="G119" t="str">
        <f>VLOOKUP(A119,[1]inrix_key!$A:$C,3,FALSE)</f>
        <v>EB_S</v>
      </c>
      <c r="H119">
        <f t="shared" si="3"/>
        <v>0.55031249999999998</v>
      </c>
    </row>
    <row r="120" spans="1:8" x14ac:dyDescent="0.25">
      <c r="A120">
        <v>448725596</v>
      </c>
      <c r="B120" t="s">
        <v>8</v>
      </c>
      <c r="C120">
        <v>1.03281249999999E-2</v>
      </c>
      <c r="D120">
        <v>1.31588481776168</v>
      </c>
      <c r="E120">
        <v>0.229666960969203</v>
      </c>
      <c r="F120">
        <v>8</v>
      </c>
      <c r="G120" t="str">
        <f>VLOOKUP(A120,[1]inrix_key!$A:$C,3,FALSE)</f>
        <v>Franklin_S</v>
      </c>
      <c r="H120">
        <f t="shared" si="3"/>
        <v>0.61968749999999395</v>
      </c>
    </row>
    <row r="121" spans="1:8" x14ac:dyDescent="0.25">
      <c r="A121">
        <v>1187377510</v>
      </c>
      <c r="B121" t="s">
        <v>8</v>
      </c>
      <c r="C121">
        <v>1.2375000000000001E-2</v>
      </c>
      <c r="D121">
        <v>0.57940435037065696</v>
      </c>
      <c r="E121">
        <v>0.58047602279690003</v>
      </c>
      <c r="F121">
        <v>8</v>
      </c>
      <c r="G121" t="str">
        <f>VLOOKUP(A121,[1]inrix_key!$A:$C,3,FALSE)</f>
        <v>EB_S</v>
      </c>
      <c r="H121">
        <f t="shared" si="3"/>
        <v>0.74250000000000005</v>
      </c>
    </row>
    <row r="122" spans="1:8" x14ac:dyDescent="0.25">
      <c r="A122">
        <v>448697010</v>
      </c>
      <c r="B122" t="s">
        <v>8</v>
      </c>
      <c r="C122">
        <v>1.4468750000000001E-2</v>
      </c>
      <c r="D122">
        <v>3.0616631266443699</v>
      </c>
      <c r="E122">
        <v>1.8280604255082E-2</v>
      </c>
      <c r="F122">
        <v>8</v>
      </c>
      <c r="G122" t="str">
        <f>VLOOKUP(A122,[1]inrix_key!$A:$C,3,FALSE)</f>
        <v>RiverValley_N</v>
      </c>
      <c r="H122">
        <f t="shared" si="3"/>
        <v>0.86812500000000004</v>
      </c>
    </row>
    <row r="123" spans="1:8" x14ac:dyDescent="0.25">
      <c r="A123">
        <v>1187532837</v>
      </c>
      <c r="B123" t="s">
        <v>8</v>
      </c>
      <c r="C123">
        <v>1.9890624999999999E-2</v>
      </c>
      <c r="D123">
        <v>2.0770353670269799</v>
      </c>
      <c r="E123">
        <v>7.6418888905106702E-2</v>
      </c>
      <c r="F123">
        <v>8</v>
      </c>
      <c r="G123" t="str">
        <f>VLOOKUP(A123,[1]inrix_key!$A:$C,3,FALSE)</f>
        <v>HobbleCreek_N</v>
      </c>
      <c r="H123">
        <f t="shared" si="3"/>
        <v>1.1934374999999999</v>
      </c>
    </row>
    <row r="124" spans="1:8" x14ac:dyDescent="0.25">
      <c r="A124">
        <v>384121516</v>
      </c>
      <c r="B124" t="s">
        <v>8</v>
      </c>
      <c r="C124">
        <v>2.1265625E-2</v>
      </c>
      <c r="D124">
        <v>4.2693835462176102</v>
      </c>
      <c r="E124">
        <v>3.70348848021644E-3</v>
      </c>
      <c r="F124">
        <v>8</v>
      </c>
      <c r="G124" t="str">
        <f>VLOOKUP(A124,[1]inrix_key!$A:$C,3,FALSE)</f>
        <v>McMillan_W</v>
      </c>
      <c r="H124">
        <f t="shared" si="3"/>
        <v>1.2759374999999999</v>
      </c>
    </row>
    <row r="125" spans="1:8" x14ac:dyDescent="0.25">
      <c r="A125">
        <v>117772024</v>
      </c>
      <c r="B125" t="s">
        <v>8</v>
      </c>
      <c r="C125">
        <v>2.18924565018314E-2</v>
      </c>
      <c r="D125">
        <v>3.9524349914179902</v>
      </c>
      <c r="E125">
        <v>5.5147922959535196E-3</v>
      </c>
      <c r="F125">
        <v>8</v>
      </c>
      <c r="G125" t="str">
        <f>VLOOKUP(A125,[1]inrix_key!$A:$C,3,FALSE)</f>
        <v>IslandWood_W</v>
      </c>
      <c r="H125">
        <f t="shared" si="3"/>
        <v>1.313547390109884</v>
      </c>
    </row>
    <row r="126" spans="1:8" x14ac:dyDescent="0.25">
      <c r="A126">
        <v>1187334983</v>
      </c>
      <c r="B126" t="s">
        <v>8</v>
      </c>
      <c r="C126">
        <v>2.59843749999999E-2</v>
      </c>
      <c r="D126">
        <v>3.7882447574250602</v>
      </c>
      <c r="E126">
        <v>6.81849653530134E-3</v>
      </c>
      <c r="F126">
        <v>8</v>
      </c>
      <c r="G126" t="str">
        <f>VLOOKUP(A126,[1]inrix_key!$A:$C,3,FALSE)</f>
        <v>Wainwright_N</v>
      </c>
      <c r="H126">
        <f t="shared" si="3"/>
        <v>1.559062499999994</v>
      </c>
    </row>
    <row r="127" spans="1:8" x14ac:dyDescent="0.25">
      <c r="A127">
        <v>1187327938</v>
      </c>
      <c r="B127" t="s">
        <v>8</v>
      </c>
      <c r="C127">
        <v>2.6124999999999898E-2</v>
      </c>
      <c r="D127">
        <v>2.32396995558969</v>
      </c>
      <c r="E127">
        <v>5.3083176369002498E-2</v>
      </c>
      <c r="F127">
        <v>8</v>
      </c>
      <c r="G127" t="str">
        <f>VLOOKUP(A127,[1]inrix_key!$A:$C,3,FALSE)</f>
        <v>Franklin_W</v>
      </c>
      <c r="H127">
        <f t="shared" si="3"/>
        <v>1.5674999999999939</v>
      </c>
    </row>
    <row r="128" spans="1:8" x14ac:dyDescent="0.25">
      <c r="A128">
        <v>117503882</v>
      </c>
      <c r="B128" t="s">
        <v>8</v>
      </c>
      <c r="C128">
        <v>2.6546875000000001E-2</v>
      </c>
      <c r="D128">
        <v>2.2330757066572802</v>
      </c>
      <c r="E128">
        <v>6.0694793496378803E-2</v>
      </c>
      <c r="F128">
        <v>8</v>
      </c>
      <c r="G128" t="str">
        <f>VLOOKUP(A128,[1]inrix_key!$A:$C,3,FALSE)</f>
        <v>Franklin_E</v>
      </c>
      <c r="H128">
        <f t="shared" si="3"/>
        <v>1.5928125</v>
      </c>
    </row>
    <row r="129" spans="1:8" x14ac:dyDescent="0.25">
      <c r="A129">
        <v>448725597</v>
      </c>
      <c r="B129" t="s">
        <v>8</v>
      </c>
      <c r="C129">
        <v>2.77812499999999E-2</v>
      </c>
      <c r="D129">
        <v>1.70432235804437</v>
      </c>
      <c r="E129">
        <v>0.132096139723479</v>
      </c>
      <c r="F129">
        <v>8</v>
      </c>
      <c r="G129" t="str">
        <f>VLOOKUP(A129,[1]inrix_key!$A:$C,3,FALSE)</f>
        <v>Ustick_E</v>
      </c>
      <c r="H129">
        <f t="shared" si="3"/>
        <v>1.6668749999999939</v>
      </c>
    </row>
    <row r="130" spans="1:8" x14ac:dyDescent="0.25">
      <c r="A130">
        <v>448725595</v>
      </c>
      <c r="B130" t="s">
        <v>8</v>
      </c>
      <c r="C130">
        <v>3.09375E-2</v>
      </c>
      <c r="D130">
        <v>5.0297798940467304</v>
      </c>
      <c r="E130">
        <v>1.5137376211289699E-3</v>
      </c>
      <c r="F130">
        <v>8</v>
      </c>
      <c r="G130" t="str">
        <f>VLOOKUP(A130,[1]inrix_key!$A:$C,3,FALSE)</f>
        <v>StLukes_S</v>
      </c>
      <c r="H130">
        <f t="shared" ref="H130:H155" si="4">60*C130</f>
        <v>1.85625</v>
      </c>
    </row>
    <row r="131" spans="1:8" x14ac:dyDescent="0.25">
      <c r="A131">
        <v>119269713</v>
      </c>
      <c r="B131" t="s">
        <v>8</v>
      </c>
      <c r="C131">
        <v>3.2662398182957297E-2</v>
      </c>
      <c r="D131">
        <v>5.4226693716021499</v>
      </c>
      <c r="E131">
        <v>9.8429917807312103E-4</v>
      </c>
      <c r="F131">
        <v>8</v>
      </c>
      <c r="G131" t="str">
        <f>VLOOKUP(A131,[1]inrix_key!$A:$C,3,FALSE)</f>
        <v>Colchester_E</v>
      </c>
      <c r="H131">
        <f t="shared" si="4"/>
        <v>1.9597438909774378</v>
      </c>
    </row>
    <row r="132" spans="1:8" x14ac:dyDescent="0.25">
      <c r="A132">
        <v>448695754</v>
      </c>
      <c r="B132" t="s">
        <v>8</v>
      </c>
      <c r="C132">
        <v>3.5437499999999997E-2</v>
      </c>
      <c r="D132">
        <v>3.45576640838458</v>
      </c>
      <c r="E132">
        <v>1.06081679229784E-2</v>
      </c>
      <c r="F132">
        <v>8</v>
      </c>
      <c r="G132" t="str">
        <f>VLOOKUP(A132,[1]inrix_key!$A:$C,3,FALSE)</f>
        <v>State_S</v>
      </c>
      <c r="H132">
        <f t="shared" si="4"/>
        <v>2.1262499999999998</v>
      </c>
    </row>
    <row r="133" spans="1:8" x14ac:dyDescent="0.25">
      <c r="A133">
        <v>448694757</v>
      </c>
      <c r="B133" t="s">
        <v>8</v>
      </c>
      <c r="C133">
        <v>4.02812499999999E-2</v>
      </c>
      <c r="D133">
        <v>3.4583928622656899</v>
      </c>
      <c r="E133">
        <v>1.0570525450319499E-2</v>
      </c>
      <c r="F133">
        <v>8</v>
      </c>
      <c r="G133" t="str">
        <f>VLOOKUP(A133,[1]inrix_key!$A:$C,3,FALSE)</f>
        <v>Ustick_W</v>
      </c>
      <c r="H133">
        <f t="shared" si="4"/>
        <v>2.4168749999999939</v>
      </c>
    </row>
    <row r="134" spans="1:8" x14ac:dyDescent="0.25">
      <c r="A134">
        <v>1187579027</v>
      </c>
      <c r="B134" t="s">
        <v>8</v>
      </c>
      <c r="C134">
        <v>4.1296874999999997E-2</v>
      </c>
      <c r="D134">
        <v>1.3215676140727399</v>
      </c>
      <c r="E134">
        <v>0.22786568114696101</v>
      </c>
      <c r="F134">
        <v>8</v>
      </c>
      <c r="G134" t="str">
        <f>VLOOKUP(A134,[1]inrix_key!$A:$C,3,FALSE)</f>
        <v>Fairview_E</v>
      </c>
      <c r="H134">
        <f t="shared" si="4"/>
        <v>2.4778124999999998</v>
      </c>
    </row>
    <row r="135" spans="1:8" x14ac:dyDescent="0.25">
      <c r="A135">
        <v>119501618</v>
      </c>
      <c r="B135" t="s">
        <v>8</v>
      </c>
      <c r="C135">
        <v>4.5984375000000001E-2</v>
      </c>
      <c r="D135">
        <v>2.7314913587596199</v>
      </c>
      <c r="E135">
        <v>2.9275570642002001E-2</v>
      </c>
      <c r="F135">
        <v>8</v>
      </c>
      <c r="G135" t="str">
        <f>VLOOKUP(A135,[1]inrix_key!$A:$C,3,FALSE)</f>
        <v>McMillan_N</v>
      </c>
      <c r="H135">
        <f t="shared" si="4"/>
        <v>2.7590625000000002</v>
      </c>
    </row>
    <row r="136" spans="1:8" x14ac:dyDescent="0.25">
      <c r="A136">
        <v>448694747</v>
      </c>
      <c r="B136" t="s">
        <v>8</v>
      </c>
      <c r="C136">
        <v>5.8203125000000001E-2</v>
      </c>
      <c r="D136">
        <v>5.3524669034163104</v>
      </c>
      <c r="E136">
        <v>1.0613729261147E-3</v>
      </c>
      <c r="F136">
        <v>8</v>
      </c>
      <c r="G136" t="str">
        <f>VLOOKUP(A136,[1]inrix_key!$A:$C,3,FALSE)</f>
        <v>Fairview_W</v>
      </c>
      <c r="H136">
        <f t="shared" si="4"/>
        <v>3.4921875</v>
      </c>
    </row>
    <row r="137" spans="1:8" x14ac:dyDescent="0.25">
      <c r="A137">
        <v>428958435</v>
      </c>
      <c r="B137" t="s">
        <v>8</v>
      </c>
      <c r="C137">
        <v>5.8640624999999898E-2</v>
      </c>
      <c r="D137">
        <v>1.77957877451248</v>
      </c>
      <c r="E137">
        <v>0.118367804175776</v>
      </c>
      <c r="F137">
        <v>8</v>
      </c>
      <c r="G137">
        <f>VLOOKUP(A137,[1]inrix_key!$A:$C,3,FALSE)</f>
        <v>0</v>
      </c>
      <c r="H137">
        <f t="shared" si="4"/>
        <v>3.5184374999999939</v>
      </c>
    </row>
    <row r="138" spans="1:8" x14ac:dyDescent="0.25">
      <c r="A138">
        <v>1187635580</v>
      </c>
      <c r="B138" t="s">
        <v>8</v>
      </c>
      <c r="C138">
        <v>7.4515625000000002E-2</v>
      </c>
      <c r="D138">
        <v>2.82542233211778</v>
      </c>
      <c r="E138">
        <v>2.55735400767086E-2</v>
      </c>
      <c r="F138">
        <v>8</v>
      </c>
      <c r="G138" t="str">
        <f>VLOOKUP(A138,[1]inrix_key!$A:$C,3,FALSE)</f>
        <v>WB_S</v>
      </c>
      <c r="H138">
        <f t="shared" si="4"/>
        <v>4.4709374999999998</v>
      </c>
    </row>
    <row r="139" spans="1:8" x14ac:dyDescent="0.25">
      <c r="A139">
        <v>1187548975</v>
      </c>
      <c r="B139" t="s">
        <v>8</v>
      </c>
      <c r="C139">
        <v>7.5703124999999996E-2</v>
      </c>
      <c r="D139">
        <v>1.91734487757943</v>
      </c>
      <c r="E139">
        <v>9.6706864587471394E-2</v>
      </c>
      <c r="F139">
        <v>8</v>
      </c>
      <c r="G139" t="str">
        <f>VLOOKUP(A139,[1]inrix_key!$A:$C,3,FALSE)</f>
        <v>Pine_S</v>
      </c>
      <c r="H139">
        <f t="shared" si="4"/>
        <v>4.5421874999999998</v>
      </c>
    </row>
    <row r="140" spans="1:8" x14ac:dyDescent="0.25">
      <c r="A140">
        <v>448695751</v>
      </c>
      <c r="B140" t="s">
        <v>8</v>
      </c>
      <c r="C140">
        <v>7.9609374999999996E-2</v>
      </c>
      <c r="D140">
        <v>13.594291966312101</v>
      </c>
      <c r="E140" s="1">
        <v>2.7417472167211602E-6</v>
      </c>
      <c r="F140">
        <v>8</v>
      </c>
      <c r="G140" t="str">
        <f>VLOOKUP(A140,[1]inrix_key!$A:$C,3,FALSE)</f>
        <v>Riverside_N</v>
      </c>
      <c r="H140">
        <f t="shared" si="4"/>
        <v>4.7765624999999998</v>
      </c>
    </row>
    <row r="141" spans="1:8" x14ac:dyDescent="0.25">
      <c r="A141">
        <v>448697006</v>
      </c>
      <c r="B141" t="s">
        <v>8</v>
      </c>
      <c r="C141">
        <v>8.0250000000000002E-2</v>
      </c>
      <c r="D141">
        <v>7.5433828343263203</v>
      </c>
      <c r="E141">
        <v>1.3239411282815801E-4</v>
      </c>
      <c r="F141">
        <v>8</v>
      </c>
      <c r="G141" t="str">
        <f>VLOOKUP(A141,[1]inrix_key!$A:$C,3,FALSE)</f>
        <v>StLukes_N</v>
      </c>
      <c r="H141">
        <f t="shared" si="4"/>
        <v>4.8150000000000004</v>
      </c>
    </row>
    <row r="142" spans="1:8" x14ac:dyDescent="0.25">
      <c r="A142">
        <v>1187654588</v>
      </c>
      <c r="B142" t="s">
        <v>8</v>
      </c>
      <c r="C142">
        <v>8.4593749999999995E-2</v>
      </c>
      <c r="D142">
        <v>3.5943522563648802</v>
      </c>
      <c r="E142">
        <v>8.8058687987815892E-3</v>
      </c>
      <c r="F142">
        <v>8</v>
      </c>
      <c r="G142" t="str">
        <f>VLOOKUP(A142,[1]inrix_key!$A:$C,3,FALSE)</f>
        <v>Franklin_N</v>
      </c>
      <c r="H142">
        <f t="shared" si="4"/>
        <v>5.0756249999999996</v>
      </c>
    </row>
    <row r="143" spans="1:8" x14ac:dyDescent="0.25">
      <c r="A143">
        <v>1187548987</v>
      </c>
      <c r="B143" t="s">
        <v>8</v>
      </c>
      <c r="C143">
        <v>8.5531250000000003E-2</v>
      </c>
      <c r="D143">
        <v>3.41959594150652</v>
      </c>
      <c r="E143">
        <v>1.11415258814239E-2</v>
      </c>
      <c r="F143">
        <v>8</v>
      </c>
      <c r="G143" t="str">
        <f>VLOOKUP(A143,[1]inrix_key!$A:$C,3,FALSE)</f>
        <v>McMillan_S</v>
      </c>
      <c r="H143">
        <f t="shared" si="4"/>
        <v>5.131875</v>
      </c>
    </row>
    <row r="144" spans="1:8" x14ac:dyDescent="0.25">
      <c r="A144">
        <v>448697007</v>
      </c>
      <c r="B144" t="s">
        <v>8</v>
      </c>
      <c r="C144">
        <v>8.9203124999999994E-2</v>
      </c>
      <c r="D144">
        <v>3.1526524737302002</v>
      </c>
      <c r="E144">
        <v>1.6092389789562699E-2</v>
      </c>
      <c r="F144">
        <v>8</v>
      </c>
      <c r="G144" t="str">
        <f>VLOOKUP(A144,[1]inrix_key!$A:$C,3,FALSE)</f>
        <v>WB_N</v>
      </c>
      <c r="H144">
        <f t="shared" si="4"/>
        <v>5.3521874999999994</v>
      </c>
    </row>
    <row r="145" spans="1:8" x14ac:dyDescent="0.25">
      <c r="A145">
        <v>448695752</v>
      </c>
      <c r="B145" t="s">
        <v>8</v>
      </c>
      <c r="C145">
        <v>9.3765625000000005E-2</v>
      </c>
      <c r="D145">
        <v>8.3372326383870003</v>
      </c>
      <c r="E145" s="1">
        <v>6.9960208786821193E-5</v>
      </c>
      <c r="F145">
        <v>8</v>
      </c>
      <c r="G145" t="str">
        <f>VLOOKUP(A145,[1]inrix_key!$A:$C,3,FALSE)</f>
        <v>IslandWood_N</v>
      </c>
      <c r="H145">
        <f t="shared" si="4"/>
        <v>5.6259375</v>
      </c>
    </row>
    <row r="146" spans="1:8" x14ac:dyDescent="0.25">
      <c r="A146">
        <v>1187549053</v>
      </c>
      <c r="B146" t="s">
        <v>8</v>
      </c>
      <c r="C146">
        <v>9.4937499999999897E-2</v>
      </c>
      <c r="D146">
        <v>9.7846521549516794</v>
      </c>
      <c r="E146" s="1">
        <v>2.46913552832604E-5</v>
      </c>
      <c r="F146">
        <v>8</v>
      </c>
      <c r="G146" t="str">
        <f>VLOOKUP(A146,[1]inrix_key!$A:$C,3,FALSE)</f>
        <v>HobbleCreek_S</v>
      </c>
      <c r="H146">
        <f t="shared" si="4"/>
        <v>5.6962499999999938</v>
      </c>
    </row>
    <row r="147" spans="1:8" x14ac:dyDescent="0.25">
      <c r="A147">
        <v>448725599</v>
      </c>
      <c r="B147" t="s">
        <v>8</v>
      </c>
      <c r="C147">
        <v>0.11603125</v>
      </c>
      <c r="D147">
        <v>13.282332610951499</v>
      </c>
      <c r="E147" s="1">
        <v>3.2081881921704802E-6</v>
      </c>
      <c r="F147">
        <v>8</v>
      </c>
      <c r="G147" t="str">
        <f>VLOOKUP(A147,[1]inrix_key!$A:$C,3,FALSE)</f>
        <v>Chinden_S</v>
      </c>
      <c r="H147">
        <f t="shared" si="4"/>
        <v>6.961875</v>
      </c>
    </row>
    <row r="148" spans="1:8" x14ac:dyDescent="0.25">
      <c r="A148">
        <v>1187335042</v>
      </c>
      <c r="B148" t="s">
        <v>8</v>
      </c>
      <c r="C148">
        <v>0.12537499999999999</v>
      </c>
      <c r="D148">
        <v>3.4234716797742801</v>
      </c>
      <c r="E148">
        <v>1.10830170279821E-2</v>
      </c>
      <c r="F148">
        <v>8</v>
      </c>
      <c r="G148" t="str">
        <f>VLOOKUP(A148,[1]inrix_key!$A:$C,3,FALSE)</f>
        <v>Ustick_N</v>
      </c>
      <c r="H148">
        <f t="shared" si="4"/>
        <v>7.5224999999999991</v>
      </c>
    </row>
    <row r="149" spans="1:8" x14ac:dyDescent="0.25">
      <c r="A149">
        <v>1187466896</v>
      </c>
      <c r="B149" t="s">
        <v>8</v>
      </c>
      <c r="C149">
        <v>0.16628124999999899</v>
      </c>
      <c r="D149">
        <v>6.3722148588161804</v>
      </c>
      <c r="E149">
        <v>3.7713632831448999E-4</v>
      </c>
      <c r="F149">
        <v>8</v>
      </c>
      <c r="G149" t="str">
        <f>VLOOKUP(A149,[1]inrix_key!$A:$C,3,FALSE)</f>
        <v>IslandWood_S</v>
      </c>
      <c r="H149">
        <f t="shared" si="4"/>
        <v>9.9768749999999393</v>
      </c>
    </row>
    <row r="150" spans="1:8" x14ac:dyDescent="0.25">
      <c r="A150">
        <v>1187466917</v>
      </c>
      <c r="B150" t="s">
        <v>8</v>
      </c>
      <c r="C150">
        <v>0.18006249999999999</v>
      </c>
      <c r="D150">
        <v>9.0542627969784508</v>
      </c>
      <c r="E150" s="1">
        <v>4.1020735993148002E-5</v>
      </c>
      <c r="F150">
        <v>8</v>
      </c>
      <c r="G150" t="str">
        <f>VLOOKUP(A150,[1]inrix_key!$A:$C,3,FALSE)</f>
        <v>Colchester_S</v>
      </c>
      <c r="H150">
        <f t="shared" si="4"/>
        <v>10.803749999999999</v>
      </c>
    </row>
    <row r="151" spans="1:8" x14ac:dyDescent="0.25">
      <c r="A151">
        <v>448695753</v>
      </c>
      <c r="B151" t="s">
        <v>8</v>
      </c>
      <c r="C151">
        <v>0.183234375</v>
      </c>
      <c r="D151">
        <v>7.4482918090290404</v>
      </c>
      <c r="E151">
        <v>1.4342599083517899E-4</v>
      </c>
      <c r="F151">
        <v>8</v>
      </c>
      <c r="G151" t="str">
        <f>VLOOKUP(A151,[1]inrix_key!$A:$C,3,FALSE)</f>
        <v>Riverside_S</v>
      </c>
      <c r="H151">
        <f t="shared" si="4"/>
        <v>10.9940625</v>
      </c>
    </row>
    <row r="152" spans="1:8" x14ac:dyDescent="0.25">
      <c r="A152">
        <v>1187612015</v>
      </c>
      <c r="B152" t="s">
        <v>8</v>
      </c>
      <c r="C152">
        <v>0.20579687499999899</v>
      </c>
      <c r="D152">
        <v>8.0258748451136199</v>
      </c>
      <c r="E152" s="1">
        <v>8.9288551359596396E-5</v>
      </c>
      <c r="F152">
        <v>8</v>
      </c>
      <c r="G152" t="str">
        <f>VLOOKUP(A152,[1]inrix_key!$A:$C,3,FALSE)</f>
        <v>Chinden_W</v>
      </c>
      <c r="H152">
        <f t="shared" si="4"/>
        <v>12.347812499999939</v>
      </c>
    </row>
    <row r="153" spans="1:8" x14ac:dyDescent="0.25">
      <c r="A153">
        <v>1187333665</v>
      </c>
      <c r="B153" t="s">
        <v>8</v>
      </c>
      <c r="C153">
        <v>0.23735937499999901</v>
      </c>
      <c r="D153">
        <v>4.1145384341467501</v>
      </c>
      <c r="E153">
        <v>4.4902433508114403E-3</v>
      </c>
      <c r="F153">
        <v>8</v>
      </c>
      <c r="G153" t="str">
        <f>VLOOKUP(A153,[1]inrix_key!$A:$C,3,FALSE)</f>
        <v>Chinden_N</v>
      </c>
      <c r="H153">
        <f t="shared" si="4"/>
        <v>14.24156249999994</v>
      </c>
    </row>
    <row r="154" spans="1:8" x14ac:dyDescent="0.25">
      <c r="A154">
        <v>1187333605</v>
      </c>
      <c r="B154" t="s">
        <v>8</v>
      </c>
      <c r="C154">
        <v>0.2835625</v>
      </c>
      <c r="D154">
        <v>6.3159327319230796</v>
      </c>
      <c r="E154">
        <v>3.9802013909352599E-4</v>
      </c>
      <c r="F154">
        <v>8</v>
      </c>
      <c r="G154" t="str">
        <f>VLOOKUP(A154,[1]inrix_key!$A:$C,3,FALSE)</f>
        <v>Colchester_N</v>
      </c>
      <c r="H154">
        <f t="shared" si="4"/>
        <v>17.013749999999998</v>
      </c>
    </row>
    <row r="155" spans="1:8" x14ac:dyDescent="0.25">
      <c r="A155">
        <v>1187577122</v>
      </c>
      <c r="B155" t="s">
        <v>8</v>
      </c>
      <c r="C155">
        <v>0.60729687499999996</v>
      </c>
      <c r="D155">
        <v>3.64002380265639</v>
      </c>
      <c r="E155">
        <v>8.2868336641459504E-3</v>
      </c>
      <c r="F155">
        <v>8</v>
      </c>
      <c r="G155" t="str">
        <f>VLOOKUP(A155,[1]inrix_key!$A:$C,3,FALSE)</f>
        <v>Chinden_E</v>
      </c>
      <c r="H155">
        <f t="shared" si="4"/>
        <v>36.4378125</v>
      </c>
    </row>
    <row r="200" spans="5:5" x14ac:dyDescent="0.25">
      <c r="E200" s="1"/>
    </row>
    <row r="204" spans="5:5" x14ac:dyDescent="0.25">
      <c r="E204" s="1"/>
    </row>
    <row r="225" spans="5:5" x14ac:dyDescent="0.25">
      <c r="E225" s="1"/>
    </row>
    <row r="258" spans="3:3" x14ac:dyDescent="0.25">
      <c r="C258" s="1"/>
    </row>
    <row r="290" spans="5:5" x14ac:dyDescent="0.25">
      <c r="E290" s="1"/>
    </row>
    <row r="326" spans="5:5" x14ac:dyDescent="0.25">
      <c r="E326" s="1"/>
    </row>
    <row r="344" spans="5:5" x14ac:dyDescent="0.25">
      <c r="E344" s="1"/>
    </row>
    <row r="345" spans="5:5" x14ac:dyDescent="0.25">
      <c r="E345" s="1"/>
    </row>
    <row r="352" spans="5:5" x14ac:dyDescent="0.25">
      <c r="E352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69" spans="5:5" x14ac:dyDescent="0.25">
      <c r="E369" s="1"/>
    </row>
    <row r="393" spans="5:5" x14ac:dyDescent="0.25">
      <c r="E393" s="1"/>
    </row>
    <row r="452" spans="5:5" x14ac:dyDescent="0.25">
      <c r="E452" s="1"/>
    </row>
    <row r="484" spans="5:5" x14ac:dyDescent="0.25">
      <c r="E484" s="1"/>
    </row>
    <row r="486" spans="5:5" x14ac:dyDescent="0.25">
      <c r="E486" s="1"/>
    </row>
    <row r="487" spans="5:5" x14ac:dyDescent="0.25">
      <c r="E487" s="1"/>
    </row>
    <row r="508" spans="5:5" x14ac:dyDescent="0.25">
      <c r="E508" s="1"/>
    </row>
    <row r="510" spans="5:5" x14ac:dyDescent="0.25">
      <c r="E510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</sheetData>
  <autoFilter ref="A1:H516" xr:uid="{45BDBC22-457B-4278-BC7C-40C27ADDDD10}">
    <sortState xmlns:xlrd2="http://schemas.microsoft.com/office/spreadsheetml/2017/richdata2" ref="A2:H516">
      <sortCondition ref="B1:B51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1D9C-7A72-492A-80A3-D4ACDB859FD0}">
  <dimension ref="A1:K244"/>
  <sheetViews>
    <sheetView workbookViewId="0">
      <selection activeCell="L11" sqref="L11"/>
    </sheetView>
  </sheetViews>
  <sheetFormatPr defaultRowHeight="15" x14ac:dyDescent="0.25"/>
  <cols>
    <col min="2" max="2" width="26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12</v>
      </c>
    </row>
    <row r="2" spans="1:11" x14ac:dyDescent="0.25">
      <c r="A2">
        <v>117503882</v>
      </c>
      <c r="B2" t="s">
        <v>6</v>
      </c>
      <c r="C2">
        <v>-7.0212418300653499E-3</v>
      </c>
      <c r="D2">
        <v>-1.4726377825047501</v>
      </c>
      <c r="E2">
        <v>0.157221528794772</v>
      </c>
      <c r="F2">
        <v>20</v>
      </c>
      <c r="G2" t="str">
        <f>VLOOKUP(A2,[1]inrix_key!$A:$C,3,FALSE)</f>
        <v>Franklin_E</v>
      </c>
      <c r="H2">
        <f t="shared" ref="H2:H65" si="0">60*C2</f>
        <v>-0.421274509803921</v>
      </c>
    </row>
    <row r="3" spans="1:11" x14ac:dyDescent="0.25">
      <c r="A3">
        <v>117772024</v>
      </c>
      <c r="B3" t="s">
        <v>6</v>
      </c>
      <c r="C3">
        <v>1.05127859477124E-2</v>
      </c>
      <c r="D3">
        <v>2.9782813457936301</v>
      </c>
      <c r="E3">
        <v>7.7240950355128204E-3</v>
      </c>
      <c r="F3">
        <v>20</v>
      </c>
      <c r="G3" t="str">
        <f>VLOOKUP(A3,[1]inrix_key!$A:$C,3,FALSE)</f>
        <v>IslandWood_W</v>
      </c>
      <c r="H3">
        <f t="shared" si="0"/>
        <v>0.63076715686274398</v>
      </c>
      <c r="J3" t="s">
        <v>13</v>
      </c>
      <c r="K3">
        <f>AVERAGEIF(G:G,"*_N*",H:H)</f>
        <v>-0.18994870811086642</v>
      </c>
    </row>
    <row r="4" spans="1:11" x14ac:dyDescent="0.25">
      <c r="A4">
        <v>119241469</v>
      </c>
      <c r="B4" t="s">
        <v>6</v>
      </c>
      <c r="C4">
        <v>7.7676861129066903E-3</v>
      </c>
      <c r="D4">
        <v>1.2389977536694501</v>
      </c>
      <c r="E4">
        <v>0.23043457342753801</v>
      </c>
      <c r="F4">
        <v>20</v>
      </c>
      <c r="G4" t="str">
        <f>VLOOKUP(A4,[1]inrix_key!$A:$C,3,FALSE)</f>
        <v>Colchester_W</v>
      </c>
      <c r="H4">
        <f t="shared" si="0"/>
        <v>0.4660611667744014</v>
      </c>
      <c r="J4" t="s">
        <v>14</v>
      </c>
      <c r="K4">
        <f>AVERAGEIF(G:G,"*_S*",H:H)</f>
        <v>0.28702426714721152</v>
      </c>
    </row>
    <row r="5" spans="1:11" x14ac:dyDescent="0.25">
      <c r="A5">
        <v>119269713</v>
      </c>
      <c r="B5" t="s">
        <v>6</v>
      </c>
      <c r="C5">
        <v>3.9286414565826199E-3</v>
      </c>
      <c r="D5">
        <v>0.62458959289889304</v>
      </c>
      <c r="E5">
        <v>0.53966911240015703</v>
      </c>
      <c r="F5">
        <v>20</v>
      </c>
      <c r="G5" t="str">
        <f>VLOOKUP(A5,[1]inrix_key!$A:$C,3,FALSE)</f>
        <v>Colchester_E</v>
      </c>
      <c r="H5">
        <f t="shared" si="0"/>
        <v>0.23571848739495718</v>
      </c>
      <c r="J5" t="s">
        <v>15</v>
      </c>
      <c r="K5">
        <f>AVERAGEIF(G:G,"*_W*",H:H)</f>
        <v>5.7473705601121736E-2</v>
      </c>
    </row>
    <row r="6" spans="1:11" x14ac:dyDescent="0.25">
      <c r="A6">
        <v>119501618</v>
      </c>
      <c r="B6" t="s">
        <v>6</v>
      </c>
      <c r="C6">
        <v>-9.3218954248365602E-3</v>
      </c>
      <c r="D6">
        <v>-1.05197383095217</v>
      </c>
      <c r="E6">
        <v>0.30600753727414398</v>
      </c>
      <c r="F6">
        <v>20</v>
      </c>
      <c r="G6" t="str">
        <f>VLOOKUP(A6,[1]inrix_key!$A:$C,3,FALSE)</f>
        <v>McMillan_N</v>
      </c>
      <c r="H6">
        <f t="shared" si="0"/>
        <v>-0.55931372549019365</v>
      </c>
      <c r="J6" t="s">
        <v>16</v>
      </c>
      <c r="K6">
        <f>AVERAGEIF(G:G,"*_E*",H:H)</f>
        <v>0.57362010403584929</v>
      </c>
    </row>
    <row r="7" spans="1:11" x14ac:dyDescent="0.25">
      <c r="A7">
        <v>384121516</v>
      </c>
      <c r="B7" t="s">
        <v>6</v>
      </c>
      <c r="C7">
        <v>-1.6604575163398701E-2</v>
      </c>
      <c r="D7">
        <v>-3.1376898773661801</v>
      </c>
      <c r="E7">
        <v>5.4195969952920602E-3</v>
      </c>
      <c r="F7">
        <v>20</v>
      </c>
      <c r="G7" t="str">
        <f>VLOOKUP(A7,[1]inrix_key!$A:$C,3,FALSE)</f>
        <v>McMillan_W</v>
      </c>
      <c r="H7">
        <f t="shared" si="0"/>
        <v>-0.99627450980392207</v>
      </c>
    </row>
    <row r="8" spans="1:11" x14ac:dyDescent="0.25">
      <c r="A8">
        <v>384139881</v>
      </c>
      <c r="B8" t="s">
        <v>6</v>
      </c>
      <c r="C8">
        <v>5.8394607843137401E-3</v>
      </c>
      <c r="D8">
        <v>0.87680472041187396</v>
      </c>
      <c r="E8">
        <v>0.39154432861817801</v>
      </c>
      <c r="F8">
        <v>20</v>
      </c>
      <c r="G8" t="str">
        <f>VLOOKUP(A8,[1]inrix_key!$A:$C,3,FALSE)</f>
        <v>Pine_W</v>
      </c>
      <c r="H8">
        <f t="shared" si="0"/>
        <v>0.35036764705882439</v>
      </c>
    </row>
    <row r="9" spans="1:11" x14ac:dyDescent="0.25">
      <c r="A9">
        <v>428958433</v>
      </c>
      <c r="B9" t="s">
        <v>6</v>
      </c>
      <c r="C9">
        <v>-5.4558823529411698E-3</v>
      </c>
      <c r="D9">
        <v>-4.8150673190888504</v>
      </c>
      <c r="E9">
        <v>1.20319490369881E-4</v>
      </c>
      <c r="F9">
        <v>20</v>
      </c>
      <c r="G9" t="str">
        <f>VLOOKUP(A9,[1]inrix_key!$A:$C,3,FALSE)</f>
        <v>EB_S</v>
      </c>
      <c r="H9">
        <f t="shared" si="0"/>
        <v>-0.32735294117647018</v>
      </c>
    </row>
    <row r="10" spans="1:11" x14ac:dyDescent="0.25">
      <c r="A10">
        <v>428958434</v>
      </c>
      <c r="B10" t="s">
        <v>6</v>
      </c>
      <c r="C10">
        <v>-2.11078431372549E-2</v>
      </c>
      <c r="D10">
        <v>-3.5569625928425501</v>
      </c>
      <c r="E10">
        <v>2.1046698301438599E-3</v>
      </c>
      <c r="F10">
        <v>20</v>
      </c>
      <c r="G10">
        <f>VLOOKUP(A10,[1]inrix_key!$A:$C,3,FALSE)</f>
        <v>0</v>
      </c>
      <c r="H10">
        <f t="shared" si="0"/>
        <v>-1.266470588235294</v>
      </c>
    </row>
    <row r="11" spans="1:11" x14ac:dyDescent="0.25">
      <c r="A11">
        <v>428958435</v>
      </c>
      <c r="B11" t="s">
        <v>6</v>
      </c>
      <c r="C11">
        <v>-3.7810457516339803E-2</v>
      </c>
      <c r="D11">
        <v>-5.5295975299346498</v>
      </c>
      <c r="E11" s="1">
        <v>2.4703051593677902E-5</v>
      </c>
      <c r="F11">
        <v>20</v>
      </c>
      <c r="G11">
        <f>VLOOKUP(A11,[1]inrix_key!$A:$C,3,FALSE)</f>
        <v>0</v>
      </c>
      <c r="H11">
        <f t="shared" si="0"/>
        <v>-2.2686274509803881</v>
      </c>
    </row>
    <row r="12" spans="1:11" x14ac:dyDescent="0.25">
      <c r="A12">
        <v>448694747</v>
      </c>
      <c r="B12" t="s">
        <v>6</v>
      </c>
      <c r="C12">
        <v>8.6683006535947793E-3</v>
      </c>
      <c r="D12">
        <v>2.00238168061174</v>
      </c>
      <c r="E12">
        <v>5.9725042551157202E-2</v>
      </c>
      <c r="F12">
        <v>20</v>
      </c>
      <c r="G12" t="str">
        <f>VLOOKUP(A12,[1]inrix_key!$A:$C,3,FALSE)</f>
        <v>Fairview_W</v>
      </c>
      <c r="H12">
        <f t="shared" si="0"/>
        <v>0.52009803921568676</v>
      </c>
    </row>
    <row r="13" spans="1:11" x14ac:dyDescent="0.25">
      <c r="A13">
        <v>448694757</v>
      </c>
      <c r="B13" t="s">
        <v>6</v>
      </c>
      <c r="C13">
        <v>1.3454248366013E-2</v>
      </c>
      <c r="D13">
        <v>0.80162505412324003</v>
      </c>
      <c r="E13">
        <v>0.432681690746614</v>
      </c>
      <c r="F13">
        <v>20</v>
      </c>
      <c r="G13" t="str">
        <f>VLOOKUP(A13,[1]inrix_key!$A:$C,3,FALSE)</f>
        <v>Ustick_W</v>
      </c>
      <c r="H13">
        <f t="shared" si="0"/>
        <v>0.80725490196077998</v>
      </c>
    </row>
    <row r="14" spans="1:11" x14ac:dyDescent="0.25">
      <c r="A14">
        <v>448695751</v>
      </c>
      <c r="B14" t="s">
        <v>6</v>
      </c>
      <c r="C14">
        <v>1.7264705882352901E-2</v>
      </c>
      <c r="D14">
        <v>3.2183170842526199</v>
      </c>
      <c r="E14">
        <v>4.5244462507977399E-3</v>
      </c>
      <c r="F14">
        <v>20</v>
      </c>
      <c r="G14" t="str">
        <f>VLOOKUP(A14,[1]inrix_key!$A:$C,3,FALSE)</f>
        <v>Riverside_N</v>
      </c>
      <c r="H14">
        <f t="shared" si="0"/>
        <v>1.035882352941174</v>
      </c>
    </row>
    <row r="15" spans="1:11" x14ac:dyDescent="0.25">
      <c r="A15">
        <v>448695752</v>
      </c>
      <c r="B15" t="s">
        <v>6</v>
      </c>
      <c r="C15">
        <v>1.0279411764705799E-2</v>
      </c>
      <c r="D15">
        <v>3.6267247523171902</v>
      </c>
      <c r="E15">
        <v>1.7958318307024601E-3</v>
      </c>
      <c r="F15">
        <v>20</v>
      </c>
      <c r="G15" t="str">
        <f>VLOOKUP(A15,[1]inrix_key!$A:$C,3,FALSE)</f>
        <v>IslandWood_N</v>
      </c>
      <c r="H15">
        <f t="shared" si="0"/>
        <v>0.616764705882348</v>
      </c>
    </row>
    <row r="16" spans="1:11" x14ac:dyDescent="0.25">
      <c r="A16">
        <v>448695753</v>
      </c>
      <c r="B16" t="s">
        <v>6</v>
      </c>
      <c r="C16">
        <v>0.103011437908496</v>
      </c>
      <c r="D16">
        <v>12.140489002432901</v>
      </c>
      <c r="E16" s="1">
        <v>2.1279663662823401E-10</v>
      </c>
      <c r="F16">
        <v>20</v>
      </c>
      <c r="G16" t="str">
        <f>VLOOKUP(A16,[1]inrix_key!$A:$C,3,FALSE)</f>
        <v>Riverside_S</v>
      </c>
      <c r="H16">
        <f t="shared" si="0"/>
        <v>6.1806862745097595</v>
      </c>
    </row>
    <row r="17" spans="1:8" x14ac:dyDescent="0.25">
      <c r="A17">
        <v>448695754</v>
      </c>
      <c r="B17" t="s">
        <v>6</v>
      </c>
      <c r="C17">
        <v>1.5962418300653598E-2</v>
      </c>
      <c r="D17">
        <v>2.4067281349167402</v>
      </c>
      <c r="E17">
        <v>2.64323921673543E-2</v>
      </c>
      <c r="F17">
        <v>20</v>
      </c>
      <c r="G17" t="str">
        <f>VLOOKUP(A17,[1]inrix_key!$A:$C,3,FALSE)</f>
        <v>State_S</v>
      </c>
      <c r="H17">
        <f t="shared" si="0"/>
        <v>0.95774509803921593</v>
      </c>
    </row>
    <row r="18" spans="1:8" x14ac:dyDescent="0.25">
      <c r="A18">
        <v>448697006</v>
      </c>
      <c r="B18" t="s">
        <v>6</v>
      </c>
      <c r="C18">
        <v>2.06470588235293E-2</v>
      </c>
      <c r="D18">
        <v>1.73488365866561</v>
      </c>
      <c r="E18">
        <v>9.8954559029446901E-2</v>
      </c>
      <c r="F18">
        <v>20</v>
      </c>
      <c r="G18" t="str">
        <f>VLOOKUP(A18,[1]inrix_key!$A:$C,3,FALSE)</f>
        <v>StLukes_N</v>
      </c>
      <c r="H18">
        <f t="shared" si="0"/>
        <v>1.238823529411758</v>
      </c>
    </row>
    <row r="19" spans="1:8" x14ac:dyDescent="0.25">
      <c r="A19">
        <v>448697007</v>
      </c>
      <c r="B19" t="s">
        <v>6</v>
      </c>
      <c r="C19">
        <v>2.7908496732026002E-3</v>
      </c>
      <c r="D19">
        <v>0.28371006605046201</v>
      </c>
      <c r="E19">
        <v>0.77970104635002502</v>
      </c>
      <c r="F19">
        <v>20</v>
      </c>
      <c r="G19" t="str">
        <f>VLOOKUP(A19,[1]inrix_key!$A:$C,3,FALSE)</f>
        <v>WB_N</v>
      </c>
      <c r="H19">
        <f t="shared" si="0"/>
        <v>0.167450980392156</v>
      </c>
    </row>
    <row r="20" spans="1:8" x14ac:dyDescent="0.25">
      <c r="A20">
        <v>448697008</v>
      </c>
      <c r="B20" t="s">
        <v>6</v>
      </c>
      <c r="C20">
        <v>1.34950980392156E-2</v>
      </c>
      <c r="D20">
        <v>1.42857366138748</v>
      </c>
      <c r="E20">
        <v>0.169360684630497</v>
      </c>
      <c r="F20">
        <v>20</v>
      </c>
      <c r="G20" t="str">
        <f>VLOOKUP(A20,[1]inrix_key!$A:$C,3,FALSE)</f>
        <v>RiverValley_S</v>
      </c>
      <c r="H20">
        <f t="shared" si="0"/>
        <v>0.80970588235293595</v>
      </c>
    </row>
    <row r="21" spans="1:8" x14ac:dyDescent="0.25">
      <c r="A21">
        <v>448697009</v>
      </c>
      <c r="B21" t="s">
        <v>6</v>
      </c>
      <c r="C21">
        <v>-4.9609477124183003E-2</v>
      </c>
      <c r="D21">
        <v>-2.2036331111293901</v>
      </c>
      <c r="E21">
        <v>4.0086303499316897E-2</v>
      </c>
      <c r="F21">
        <v>20</v>
      </c>
      <c r="G21" t="str">
        <f>VLOOKUP(A21,[1]inrix_key!$A:$C,3,FALSE)</f>
        <v>Ustick_S</v>
      </c>
      <c r="H21">
        <f t="shared" si="0"/>
        <v>-2.9765686274509804</v>
      </c>
    </row>
    <row r="22" spans="1:8" x14ac:dyDescent="0.25">
      <c r="A22">
        <v>448697010</v>
      </c>
      <c r="B22" t="s">
        <v>6</v>
      </c>
      <c r="C22">
        <v>-1.9879084967320201E-2</v>
      </c>
      <c r="D22">
        <v>-2.7386694825199198</v>
      </c>
      <c r="E22">
        <v>1.30515036179382E-2</v>
      </c>
      <c r="F22">
        <v>20</v>
      </c>
      <c r="G22" t="str">
        <f>VLOOKUP(A22,[1]inrix_key!$A:$C,3,FALSE)</f>
        <v>RiverValley_N</v>
      </c>
      <c r="H22">
        <f t="shared" si="0"/>
        <v>-1.192745098039212</v>
      </c>
    </row>
    <row r="23" spans="1:8" x14ac:dyDescent="0.25">
      <c r="A23">
        <v>448697011</v>
      </c>
      <c r="B23" t="s">
        <v>6</v>
      </c>
      <c r="C23">
        <v>-5.8496732026144197E-4</v>
      </c>
      <c r="D23">
        <v>-9.7894004992147399E-2</v>
      </c>
      <c r="E23">
        <v>0.92304181413752595</v>
      </c>
      <c r="F23">
        <v>20</v>
      </c>
      <c r="G23" t="str">
        <f>VLOOKUP(A23,[1]inrix_key!$A:$C,3,FALSE)</f>
        <v>Fairview_N</v>
      </c>
      <c r="H23">
        <f t="shared" si="0"/>
        <v>-3.5098039215686522E-2</v>
      </c>
    </row>
    <row r="24" spans="1:8" x14ac:dyDescent="0.25">
      <c r="A24">
        <v>448725595</v>
      </c>
      <c r="B24" t="s">
        <v>6</v>
      </c>
      <c r="C24">
        <v>2.6772875816993402E-2</v>
      </c>
      <c r="D24">
        <v>3.0214973780829602</v>
      </c>
      <c r="E24">
        <v>7.0192747696540903E-3</v>
      </c>
      <c r="F24">
        <v>20</v>
      </c>
      <c r="G24" t="str">
        <f>VLOOKUP(A24,[1]inrix_key!$A:$C,3,FALSE)</f>
        <v>StLukes_S</v>
      </c>
      <c r="H24">
        <f t="shared" si="0"/>
        <v>1.6063725490196041</v>
      </c>
    </row>
    <row r="25" spans="1:8" x14ac:dyDescent="0.25">
      <c r="A25">
        <v>448725596</v>
      </c>
      <c r="B25" t="s">
        <v>6</v>
      </c>
      <c r="C25">
        <v>6.3594771241830099E-3</v>
      </c>
      <c r="D25">
        <v>0.57209329464224601</v>
      </c>
      <c r="E25">
        <v>0.57396600430220501</v>
      </c>
      <c r="F25">
        <v>20</v>
      </c>
      <c r="G25" t="str">
        <f>VLOOKUP(A25,[1]inrix_key!$A:$C,3,FALSE)</f>
        <v>Franklin_S</v>
      </c>
      <c r="H25">
        <f t="shared" si="0"/>
        <v>0.38156862745098058</v>
      </c>
    </row>
    <row r="26" spans="1:8" x14ac:dyDescent="0.25">
      <c r="A26">
        <v>448725597</v>
      </c>
      <c r="B26" t="s">
        <v>6</v>
      </c>
      <c r="C26">
        <v>1.2143790849673101E-2</v>
      </c>
      <c r="D26">
        <v>1.89161791134974</v>
      </c>
      <c r="E26">
        <v>7.3885667902098495E-2</v>
      </c>
      <c r="F26">
        <v>20</v>
      </c>
      <c r="G26" t="str">
        <f>VLOOKUP(A26,[1]inrix_key!$A:$C,3,FALSE)</f>
        <v>Ustick_E</v>
      </c>
      <c r="H26">
        <f t="shared" si="0"/>
        <v>0.72862745098038606</v>
      </c>
    </row>
    <row r="27" spans="1:8" x14ac:dyDescent="0.25">
      <c r="A27">
        <v>448725599</v>
      </c>
      <c r="B27" t="s">
        <v>6</v>
      </c>
      <c r="C27">
        <v>-4.1642156862745097E-2</v>
      </c>
      <c r="D27">
        <v>-2.3783059000753699</v>
      </c>
      <c r="E27">
        <v>2.8040293487860898E-2</v>
      </c>
      <c r="F27">
        <v>20</v>
      </c>
      <c r="G27" t="str">
        <f>VLOOKUP(A27,[1]inrix_key!$A:$C,3,FALSE)</f>
        <v>Chinden_S</v>
      </c>
      <c r="H27">
        <f t="shared" si="0"/>
        <v>-2.4985294117647059</v>
      </c>
    </row>
    <row r="28" spans="1:8" x14ac:dyDescent="0.25">
      <c r="A28">
        <v>474871675</v>
      </c>
      <c r="B28" t="s">
        <v>6</v>
      </c>
      <c r="C28">
        <v>-5.3880718954248299E-2</v>
      </c>
      <c r="D28">
        <v>-3.2508492819775698</v>
      </c>
      <c r="E28">
        <v>4.2056845567099901E-3</v>
      </c>
      <c r="F28">
        <v>20</v>
      </c>
      <c r="G28" t="str">
        <f>VLOOKUP(A28,[1]inrix_key!$A:$C,3,FALSE)</f>
        <v>McMillan_E</v>
      </c>
      <c r="H28">
        <f t="shared" si="0"/>
        <v>-3.232843137254898</v>
      </c>
    </row>
    <row r="29" spans="1:8" x14ac:dyDescent="0.25">
      <c r="A29">
        <v>484347992</v>
      </c>
      <c r="B29" t="s">
        <v>6</v>
      </c>
      <c r="C29">
        <v>1.0582107843137201E-3</v>
      </c>
      <c r="D29">
        <v>3.3741341481609401</v>
      </c>
      <c r="E29">
        <v>3.1853955373852098E-3</v>
      </c>
      <c r="F29">
        <v>20</v>
      </c>
      <c r="G29">
        <f>VLOOKUP(A29,[1]inrix_key!$A:$C,3,FALSE)</f>
        <v>0</v>
      </c>
      <c r="H29">
        <f t="shared" si="0"/>
        <v>6.3492647058823209E-2</v>
      </c>
    </row>
    <row r="30" spans="1:8" x14ac:dyDescent="0.25">
      <c r="A30">
        <v>484366819</v>
      </c>
      <c r="B30" t="s">
        <v>6</v>
      </c>
      <c r="C30">
        <v>-8.1225490196078307E-3</v>
      </c>
      <c r="D30">
        <v>-2.7968462455061598</v>
      </c>
      <c r="E30">
        <v>1.15024085740705E-2</v>
      </c>
      <c r="F30">
        <v>20</v>
      </c>
      <c r="G30" t="str">
        <f>VLOOKUP(A30,[1]inrix_key!$A:$C,3,FALSE)</f>
        <v>Pine_E</v>
      </c>
      <c r="H30">
        <f t="shared" si="0"/>
        <v>-0.48735294117646982</v>
      </c>
    </row>
    <row r="31" spans="1:8" x14ac:dyDescent="0.25">
      <c r="A31">
        <v>484371307</v>
      </c>
      <c r="B31" t="s">
        <v>6</v>
      </c>
      <c r="C31">
        <v>-5.5228758169934503E-3</v>
      </c>
      <c r="D31">
        <v>-3.1469243481359301</v>
      </c>
      <c r="E31">
        <v>5.3089092287464E-3</v>
      </c>
      <c r="F31">
        <v>20</v>
      </c>
      <c r="G31" t="str">
        <f>VLOOKUP(A31,[1]inrix_key!$A:$C,3,FALSE)</f>
        <v>Pine_E</v>
      </c>
      <c r="H31">
        <f t="shared" si="0"/>
        <v>-0.331372549019607</v>
      </c>
    </row>
    <row r="32" spans="1:8" x14ac:dyDescent="0.25">
      <c r="A32">
        <v>1187327938</v>
      </c>
      <c r="B32" t="s">
        <v>6</v>
      </c>
      <c r="C32">
        <v>-1.8181372549019501E-2</v>
      </c>
      <c r="D32">
        <v>-2.6287788891142201</v>
      </c>
      <c r="E32">
        <v>1.6536155675856298E-2</v>
      </c>
      <c r="F32">
        <v>20</v>
      </c>
      <c r="G32" t="str">
        <f>VLOOKUP(A32,[1]inrix_key!$A:$C,3,FALSE)</f>
        <v>Franklin_W</v>
      </c>
      <c r="H32">
        <f t="shared" si="0"/>
        <v>-1.09088235294117</v>
      </c>
    </row>
    <row r="33" spans="1:8" x14ac:dyDescent="0.25">
      <c r="A33">
        <v>1187333605</v>
      </c>
      <c r="B33" t="s">
        <v>6</v>
      </c>
      <c r="C33">
        <v>-4.1766339869281001E-2</v>
      </c>
      <c r="D33">
        <v>-4.3524173650497797</v>
      </c>
      <c r="E33">
        <v>3.42903237225588E-4</v>
      </c>
      <c r="F33">
        <v>20</v>
      </c>
      <c r="G33" t="str">
        <f>VLOOKUP(A33,[1]inrix_key!$A:$C,3,FALSE)</f>
        <v>Colchester_N</v>
      </c>
      <c r="H33">
        <f t="shared" si="0"/>
        <v>-2.50598039215686</v>
      </c>
    </row>
    <row r="34" spans="1:8" x14ac:dyDescent="0.25">
      <c r="A34">
        <v>1187333665</v>
      </c>
      <c r="B34" t="s">
        <v>6</v>
      </c>
      <c r="C34">
        <v>-5.7004901960784303E-2</v>
      </c>
      <c r="D34">
        <v>-2.0901816159122699</v>
      </c>
      <c r="E34">
        <v>5.0281822900112003E-2</v>
      </c>
      <c r="F34">
        <v>20</v>
      </c>
      <c r="G34" t="str">
        <f>VLOOKUP(A34,[1]inrix_key!$A:$C,3,FALSE)</f>
        <v>Chinden_N</v>
      </c>
      <c r="H34">
        <f t="shared" si="0"/>
        <v>-3.420294117647058</v>
      </c>
    </row>
    <row r="35" spans="1:8" x14ac:dyDescent="0.25">
      <c r="A35">
        <v>1187334983</v>
      </c>
      <c r="B35" t="s">
        <v>6</v>
      </c>
      <c r="C35">
        <v>-1.4975490196078399E-2</v>
      </c>
      <c r="D35">
        <v>-1.9085020499288099</v>
      </c>
      <c r="E35">
        <v>7.1551106671176701E-2</v>
      </c>
      <c r="F35">
        <v>20</v>
      </c>
      <c r="G35" t="str">
        <f>VLOOKUP(A35,[1]inrix_key!$A:$C,3,FALSE)</f>
        <v>Wainwright_N</v>
      </c>
      <c r="H35">
        <f t="shared" si="0"/>
        <v>-0.89852941176470391</v>
      </c>
    </row>
    <row r="36" spans="1:8" x14ac:dyDescent="0.25">
      <c r="A36">
        <v>1187335042</v>
      </c>
      <c r="B36" t="s">
        <v>6</v>
      </c>
      <c r="C36">
        <v>-3.6068627450980398E-2</v>
      </c>
      <c r="D36">
        <v>-1.2106516448243601</v>
      </c>
      <c r="E36">
        <v>0.24087423367018501</v>
      </c>
      <c r="F36">
        <v>20</v>
      </c>
      <c r="G36" t="str">
        <f>VLOOKUP(A36,[1]inrix_key!$A:$C,3,FALSE)</f>
        <v>Ustick_N</v>
      </c>
      <c r="H36">
        <f t="shared" si="0"/>
        <v>-2.1641176470588239</v>
      </c>
    </row>
    <row r="37" spans="1:8" x14ac:dyDescent="0.25">
      <c r="A37">
        <v>1187377510</v>
      </c>
      <c r="B37" t="s">
        <v>6</v>
      </c>
      <c r="C37">
        <v>-2.3772875816993399E-2</v>
      </c>
      <c r="D37">
        <v>-4.4457754457296303</v>
      </c>
      <c r="E37">
        <v>2.7730972087457498E-4</v>
      </c>
      <c r="F37">
        <v>20</v>
      </c>
      <c r="G37" t="str">
        <f>VLOOKUP(A37,[1]inrix_key!$A:$C,3,FALSE)</f>
        <v>EB_S</v>
      </c>
      <c r="H37">
        <f t="shared" si="0"/>
        <v>-1.426372549019604</v>
      </c>
    </row>
    <row r="38" spans="1:8" x14ac:dyDescent="0.25">
      <c r="A38">
        <v>1187466896</v>
      </c>
      <c r="B38" t="s">
        <v>6</v>
      </c>
      <c r="C38">
        <v>0.12715686274509799</v>
      </c>
      <c r="D38">
        <v>11.393345101361</v>
      </c>
      <c r="E38" s="1">
        <v>6.1906128485524698E-10</v>
      </c>
      <c r="F38">
        <v>20</v>
      </c>
      <c r="G38" t="str">
        <f>VLOOKUP(A38,[1]inrix_key!$A:$C,3,FALSE)</f>
        <v>IslandWood_S</v>
      </c>
      <c r="H38">
        <f t="shared" si="0"/>
        <v>7.6294117647058792</v>
      </c>
    </row>
    <row r="39" spans="1:8" x14ac:dyDescent="0.25">
      <c r="A39">
        <v>1187466917</v>
      </c>
      <c r="B39" t="s">
        <v>6</v>
      </c>
      <c r="C39">
        <v>5.1297385620915001E-2</v>
      </c>
      <c r="D39">
        <v>8.5402242313010195</v>
      </c>
      <c r="E39" s="1">
        <v>6.2654228462986706E-8</v>
      </c>
      <c r="F39">
        <v>20</v>
      </c>
      <c r="G39" t="str">
        <f>VLOOKUP(A39,[1]inrix_key!$A:$C,3,FALSE)</f>
        <v>Colchester_S</v>
      </c>
      <c r="H39">
        <f t="shared" si="0"/>
        <v>3.0778431372549</v>
      </c>
    </row>
    <row r="40" spans="1:8" x14ac:dyDescent="0.25">
      <c r="A40">
        <v>1187517040</v>
      </c>
      <c r="B40" t="s">
        <v>6</v>
      </c>
      <c r="C40">
        <v>-5.2003267973856203E-2</v>
      </c>
      <c r="D40">
        <v>-6.1819680934908501</v>
      </c>
      <c r="E40" s="1">
        <v>6.1149578092198902E-6</v>
      </c>
      <c r="F40">
        <v>20</v>
      </c>
      <c r="G40" t="str">
        <f>VLOOKUP(A40,[1]inrix_key!$A:$C,3,FALSE)</f>
        <v>Wainwright_S</v>
      </c>
      <c r="H40">
        <f t="shared" si="0"/>
        <v>-3.120196078431372</v>
      </c>
    </row>
    <row r="41" spans="1:8" x14ac:dyDescent="0.25">
      <c r="A41">
        <v>1187532837</v>
      </c>
      <c r="B41" t="s">
        <v>6</v>
      </c>
      <c r="C41">
        <v>-4.6372549019607998E-3</v>
      </c>
      <c r="D41">
        <v>-1.5824394247097899</v>
      </c>
      <c r="E41">
        <v>0.13005307056608301</v>
      </c>
      <c r="F41">
        <v>20</v>
      </c>
      <c r="G41" t="str">
        <f>VLOOKUP(A41,[1]inrix_key!$A:$C,3,FALSE)</f>
        <v>HobbleCreek_N</v>
      </c>
      <c r="H41">
        <f t="shared" si="0"/>
        <v>-0.27823529411764797</v>
      </c>
    </row>
    <row r="42" spans="1:8" x14ac:dyDescent="0.25">
      <c r="A42">
        <v>1187548947</v>
      </c>
      <c r="B42" t="s">
        <v>6</v>
      </c>
      <c r="C42">
        <v>-4.0290849673202601E-2</v>
      </c>
      <c r="D42">
        <v>-7.1364316892212099</v>
      </c>
      <c r="E42" s="1">
        <v>8.7539528955795699E-7</v>
      </c>
      <c r="F42">
        <v>20</v>
      </c>
      <c r="G42" t="str">
        <f>VLOOKUP(A42,[1]inrix_key!$A:$C,3,FALSE)</f>
        <v>Fairview_S</v>
      </c>
      <c r="H42">
        <f t="shared" si="0"/>
        <v>-2.417450980392156</v>
      </c>
    </row>
    <row r="43" spans="1:8" x14ac:dyDescent="0.25">
      <c r="A43">
        <v>1187548975</v>
      </c>
      <c r="B43" t="s">
        <v>6</v>
      </c>
      <c r="C43">
        <v>6.23545751633987E-2</v>
      </c>
      <c r="D43">
        <v>1.52333977363844</v>
      </c>
      <c r="E43">
        <v>0.144145062250469</v>
      </c>
      <c r="F43">
        <v>20</v>
      </c>
      <c r="G43" t="str">
        <f>VLOOKUP(A43,[1]inrix_key!$A:$C,3,FALSE)</f>
        <v>Pine_S</v>
      </c>
      <c r="H43">
        <f t="shared" si="0"/>
        <v>3.741274509803922</v>
      </c>
    </row>
    <row r="44" spans="1:8" x14ac:dyDescent="0.25">
      <c r="A44">
        <v>1187548987</v>
      </c>
      <c r="B44" t="s">
        <v>6</v>
      </c>
      <c r="C44">
        <v>-2.6743464052287499E-2</v>
      </c>
      <c r="D44">
        <v>-3.2665254864125801</v>
      </c>
      <c r="E44">
        <v>4.0600328399636801E-3</v>
      </c>
      <c r="F44">
        <v>20</v>
      </c>
      <c r="G44" t="str">
        <f>VLOOKUP(A44,[1]inrix_key!$A:$C,3,FALSE)</f>
        <v>McMillan_S</v>
      </c>
      <c r="H44">
        <f t="shared" si="0"/>
        <v>-1.6046078431372499</v>
      </c>
    </row>
    <row r="45" spans="1:8" x14ac:dyDescent="0.25">
      <c r="A45">
        <v>1187549053</v>
      </c>
      <c r="B45" t="s">
        <v>6</v>
      </c>
      <c r="C45">
        <v>-5.1452614379084903E-2</v>
      </c>
      <c r="D45">
        <v>-2.62062274734097</v>
      </c>
      <c r="E45">
        <v>1.6827288854084198E-2</v>
      </c>
      <c r="F45">
        <v>20</v>
      </c>
      <c r="G45" t="str">
        <f>VLOOKUP(A45,[1]inrix_key!$A:$C,3,FALSE)</f>
        <v>HobbleCreek_S</v>
      </c>
      <c r="H45">
        <f t="shared" si="0"/>
        <v>-3.0871568627450943</v>
      </c>
    </row>
    <row r="46" spans="1:8" x14ac:dyDescent="0.25">
      <c r="A46">
        <v>1187577122</v>
      </c>
      <c r="B46" t="s">
        <v>6</v>
      </c>
      <c r="C46">
        <v>2.7055555555555499E-2</v>
      </c>
      <c r="D46">
        <v>2.3462175885274998</v>
      </c>
      <c r="E46">
        <v>2.99647290117009E-2</v>
      </c>
      <c r="F46">
        <v>20</v>
      </c>
      <c r="G46" t="str">
        <f>VLOOKUP(A46,[1]inrix_key!$A:$C,3,FALSE)</f>
        <v>Chinden_E</v>
      </c>
      <c r="H46">
        <f t="shared" si="0"/>
        <v>1.62333333333333</v>
      </c>
    </row>
    <row r="47" spans="1:8" x14ac:dyDescent="0.25">
      <c r="A47">
        <v>1187579027</v>
      </c>
      <c r="B47" t="s">
        <v>6</v>
      </c>
      <c r="C47">
        <v>2.48562091503268E-2</v>
      </c>
      <c r="D47">
        <v>4.31710320312681</v>
      </c>
      <c r="E47">
        <v>3.7161409175513001E-4</v>
      </c>
      <c r="F47">
        <v>20</v>
      </c>
      <c r="G47" t="str">
        <f>VLOOKUP(A47,[1]inrix_key!$A:$C,3,FALSE)</f>
        <v>Fairview_E</v>
      </c>
      <c r="H47">
        <f t="shared" si="0"/>
        <v>1.4913725490196079</v>
      </c>
    </row>
    <row r="48" spans="1:8" x14ac:dyDescent="0.25">
      <c r="A48">
        <v>1187586311</v>
      </c>
      <c r="B48" t="s">
        <v>6</v>
      </c>
      <c r="C48">
        <v>2.15653594771241E-2</v>
      </c>
      <c r="D48">
        <v>1.1785950409984201</v>
      </c>
      <c r="E48">
        <v>0.25310966081009401</v>
      </c>
      <c r="F48">
        <v>20</v>
      </c>
      <c r="G48" t="str">
        <f>VLOOKUP(A48,[1]inrix_key!$A:$C,3,FALSE)</f>
        <v>EB_W</v>
      </c>
      <c r="H48">
        <f t="shared" si="0"/>
        <v>1.2939215686274459</v>
      </c>
    </row>
    <row r="49" spans="1:8" x14ac:dyDescent="0.25">
      <c r="A49">
        <v>1187612015</v>
      </c>
      <c r="B49" t="s">
        <v>6</v>
      </c>
      <c r="C49">
        <v>-5.6813725490196101E-2</v>
      </c>
      <c r="D49">
        <v>-0.99101445206991701</v>
      </c>
      <c r="E49">
        <v>0.33413235663513302</v>
      </c>
      <c r="F49">
        <v>20</v>
      </c>
      <c r="G49" t="str">
        <f>VLOOKUP(A49,[1]inrix_key!$A:$C,3,FALSE)</f>
        <v>Chinden_W</v>
      </c>
      <c r="H49">
        <f t="shared" si="0"/>
        <v>-3.4088235294117659</v>
      </c>
    </row>
    <row r="50" spans="1:8" x14ac:dyDescent="0.25">
      <c r="A50">
        <v>1187635580</v>
      </c>
      <c r="B50" t="s">
        <v>6</v>
      </c>
      <c r="C50">
        <v>-4.3207516339869197E-2</v>
      </c>
      <c r="D50">
        <v>-4.2479566003381297</v>
      </c>
      <c r="E50">
        <v>4.35035964379128E-4</v>
      </c>
      <c r="F50">
        <v>20</v>
      </c>
      <c r="G50" t="str">
        <f>VLOOKUP(A50,[1]inrix_key!$A:$C,3,FALSE)</f>
        <v>WB_S</v>
      </c>
      <c r="H50">
        <f t="shared" si="0"/>
        <v>-2.5924509803921518</v>
      </c>
    </row>
    <row r="51" spans="1:8" x14ac:dyDescent="0.25">
      <c r="A51">
        <v>1187636735</v>
      </c>
      <c r="B51" t="s">
        <v>6</v>
      </c>
      <c r="C51">
        <v>2.8431372549019601E-2</v>
      </c>
      <c r="D51">
        <v>4.4778985223151704</v>
      </c>
      <c r="E51">
        <v>2.57798160538069E-4</v>
      </c>
      <c r="F51">
        <v>20</v>
      </c>
      <c r="G51" t="str">
        <f>VLOOKUP(A51,[1]inrix_key!$A:$C,3,FALSE)</f>
        <v>WB_E</v>
      </c>
      <c r="H51">
        <f t="shared" si="0"/>
        <v>1.705882352941176</v>
      </c>
    </row>
    <row r="52" spans="1:8" x14ac:dyDescent="0.25">
      <c r="A52">
        <v>1187654588</v>
      </c>
      <c r="B52" t="s">
        <v>6</v>
      </c>
      <c r="C52">
        <v>3.1078431372549E-3</v>
      </c>
      <c r="D52">
        <v>0.15969322699898</v>
      </c>
      <c r="E52">
        <v>0.87480816764647695</v>
      </c>
      <c r="F52">
        <v>20</v>
      </c>
      <c r="G52" t="str">
        <f>VLOOKUP(A52,[1]inrix_key!$A:$C,3,FALSE)</f>
        <v>Franklin_N</v>
      </c>
      <c r="H52">
        <f t="shared" si="0"/>
        <v>0.186470588235294</v>
      </c>
    </row>
    <row r="53" spans="1:8" x14ac:dyDescent="0.25">
      <c r="A53">
        <v>1187654609</v>
      </c>
      <c r="B53" t="s">
        <v>6</v>
      </c>
      <c r="C53">
        <v>-3.6730392156862697E-2</v>
      </c>
      <c r="D53">
        <v>-5.0713688717909298</v>
      </c>
      <c r="E53" s="1">
        <v>6.7804135850566693E-5</v>
      </c>
      <c r="F53">
        <v>20</v>
      </c>
      <c r="G53" t="str">
        <f>VLOOKUP(A53,[1]inrix_key!$A:$C,3,FALSE)</f>
        <v>Pine_N</v>
      </c>
      <c r="H53">
        <f t="shared" si="0"/>
        <v>-2.2038235294117619</v>
      </c>
    </row>
    <row r="54" spans="1:8" x14ac:dyDescent="0.25">
      <c r="A54">
        <v>117503882</v>
      </c>
      <c r="B54" t="s">
        <v>7</v>
      </c>
      <c r="C54">
        <v>6.9860389610389498E-3</v>
      </c>
      <c r="D54">
        <v>0.489588355899571</v>
      </c>
      <c r="E54">
        <v>0.63613672999843995</v>
      </c>
      <c r="F54">
        <v>10</v>
      </c>
      <c r="G54" t="str">
        <f>VLOOKUP(A54,[1]inrix_key!$A:$C,3,FALSE)</f>
        <v>Franklin_E</v>
      </c>
      <c r="H54">
        <f t="shared" si="0"/>
        <v>0.41916233766233701</v>
      </c>
    </row>
    <row r="55" spans="1:8" x14ac:dyDescent="0.25">
      <c r="A55">
        <v>117772024</v>
      </c>
      <c r="B55" t="s">
        <v>7</v>
      </c>
      <c r="C55">
        <v>-1.4999999999999901E-2</v>
      </c>
      <c r="F55">
        <v>1</v>
      </c>
      <c r="G55" t="str">
        <f>VLOOKUP(A55,[1]inrix_key!$A:$C,3,FALSE)</f>
        <v>IslandWood_W</v>
      </c>
      <c r="H55">
        <f t="shared" si="0"/>
        <v>-0.89999999999999403</v>
      </c>
    </row>
    <row r="56" spans="1:8" x14ac:dyDescent="0.25">
      <c r="A56">
        <v>119269713</v>
      </c>
      <c r="B56" t="s">
        <v>7</v>
      </c>
      <c r="C56">
        <v>-1.3333333333333299E-2</v>
      </c>
      <c r="D56">
        <v>-0.57708197126668903</v>
      </c>
      <c r="E56">
        <v>0.58487030603699297</v>
      </c>
      <c r="F56">
        <v>7</v>
      </c>
      <c r="G56" t="str">
        <f>VLOOKUP(A56,[1]inrix_key!$A:$C,3,FALSE)</f>
        <v>Colchester_E</v>
      </c>
      <c r="H56">
        <f t="shared" si="0"/>
        <v>-0.79999999999999793</v>
      </c>
    </row>
    <row r="57" spans="1:8" x14ac:dyDescent="0.25">
      <c r="A57">
        <v>119501618</v>
      </c>
      <c r="B57" t="s">
        <v>7</v>
      </c>
      <c r="C57">
        <v>-4.5635345047111402E-4</v>
      </c>
      <c r="D57">
        <v>-5.6953214436826799E-2</v>
      </c>
      <c r="E57">
        <v>0.95582686186936305</v>
      </c>
      <c r="F57">
        <v>10</v>
      </c>
      <c r="G57" t="str">
        <f>VLOOKUP(A57,[1]inrix_key!$A:$C,3,FALSE)</f>
        <v>McMillan_N</v>
      </c>
      <c r="H57">
        <f t="shared" si="0"/>
        <v>-2.7381207028266841E-2</v>
      </c>
    </row>
    <row r="58" spans="1:8" x14ac:dyDescent="0.25">
      <c r="A58">
        <v>384121516</v>
      </c>
      <c r="B58" t="s">
        <v>7</v>
      </c>
      <c r="C58">
        <v>1.16190476190476E-2</v>
      </c>
      <c r="D58">
        <v>0.71516975370246905</v>
      </c>
      <c r="E58">
        <v>0.49484325477302299</v>
      </c>
      <c r="F58">
        <v>9</v>
      </c>
      <c r="G58" t="str">
        <f>VLOOKUP(A58,[1]inrix_key!$A:$C,3,FALSE)</f>
        <v>McMillan_W</v>
      </c>
      <c r="H58">
        <f t="shared" si="0"/>
        <v>0.69714285714285595</v>
      </c>
    </row>
    <row r="59" spans="1:8" x14ac:dyDescent="0.25">
      <c r="A59">
        <v>384139881</v>
      </c>
      <c r="B59" t="s">
        <v>7</v>
      </c>
      <c r="C59">
        <v>4.1962878787878702E-2</v>
      </c>
      <c r="D59">
        <v>1.58790038682955</v>
      </c>
      <c r="E59">
        <v>0.14677131931899301</v>
      </c>
      <c r="F59">
        <v>10</v>
      </c>
      <c r="G59" t="str">
        <f>VLOOKUP(A59,[1]inrix_key!$A:$C,3,FALSE)</f>
        <v>Pine_W</v>
      </c>
      <c r="H59">
        <f t="shared" si="0"/>
        <v>2.5177727272727219</v>
      </c>
    </row>
    <row r="60" spans="1:8" x14ac:dyDescent="0.25">
      <c r="A60">
        <v>428958433</v>
      </c>
      <c r="B60" t="s">
        <v>7</v>
      </c>
      <c r="C60">
        <v>-2.1782634032633998E-3</v>
      </c>
      <c r="D60">
        <v>-1.92175348856621</v>
      </c>
      <c r="E60">
        <v>8.6812293763551998E-2</v>
      </c>
      <c r="F60">
        <v>10</v>
      </c>
      <c r="G60" t="str">
        <f>VLOOKUP(A60,[1]inrix_key!$A:$C,3,FALSE)</f>
        <v>EB_S</v>
      </c>
      <c r="H60">
        <f t="shared" si="0"/>
        <v>-0.13069580419580398</v>
      </c>
    </row>
    <row r="61" spans="1:8" x14ac:dyDescent="0.25">
      <c r="A61">
        <v>428958434</v>
      </c>
      <c r="B61" t="s">
        <v>7</v>
      </c>
      <c r="C61">
        <v>-2.03696719946718E-3</v>
      </c>
      <c r="D61">
        <v>-0.43368266507682002</v>
      </c>
      <c r="E61">
        <v>0.674728469634022</v>
      </c>
      <c r="F61">
        <v>10</v>
      </c>
      <c r="G61">
        <f>VLOOKUP(A61,[1]inrix_key!$A:$C,3,FALSE)</f>
        <v>0</v>
      </c>
      <c r="H61">
        <f t="shared" si="0"/>
        <v>-0.1222180319680308</v>
      </c>
    </row>
    <row r="62" spans="1:8" x14ac:dyDescent="0.25">
      <c r="A62">
        <v>428958435</v>
      </c>
      <c r="B62" t="s">
        <v>7</v>
      </c>
      <c r="C62">
        <v>-2.3930194805194798E-3</v>
      </c>
      <c r="D62">
        <v>-0.70098160913712604</v>
      </c>
      <c r="E62">
        <v>0.50103483647773905</v>
      </c>
      <c r="F62">
        <v>10</v>
      </c>
      <c r="G62">
        <f>VLOOKUP(A62,[1]inrix_key!$A:$C,3,FALSE)</f>
        <v>0</v>
      </c>
      <c r="H62">
        <f t="shared" si="0"/>
        <v>-0.14358116883116878</v>
      </c>
    </row>
    <row r="63" spans="1:8" x14ac:dyDescent="0.25">
      <c r="A63">
        <v>448694747</v>
      </c>
      <c r="B63" t="s">
        <v>7</v>
      </c>
      <c r="C63">
        <v>-1.24467948717948E-2</v>
      </c>
      <c r="D63">
        <v>-1.4498285830800799</v>
      </c>
      <c r="E63">
        <v>0.18104276323614599</v>
      </c>
      <c r="F63">
        <v>10</v>
      </c>
      <c r="G63" t="str">
        <f>VLOOKUP(A63,[1]inrix_key!$A:$C,3,FALSE)</f>
        <v>Fairview_W</v>
      </c>
      <c r="H63">
        <f t="shared" si="0"/>
        <v>-0.74680769230768806</v>
      </c>
    </row>
    <row r="64" spans="1:8" x14ac:dyDescent="0.25">
      <c r="A64">
        <v>448694757</v>
      </c>
      <c r="B64" t="s">
        <v>7</v>
      </c>
      <c r="C64">
        <v>-1.4613497613497501E-2</v>
      </c>
      <c r="D64">
        <v>-0.49268197055516999</v>
      </c>
      <c r="E64">
        <v>0.63403326954814598</v>
      </c>
      <c r="F64">
        <v>10</v>
      </c>
      <c r="G64" t="str">
        <f>VLOOKUP(A64,[1]inrix_key!$A:$C,3,FALSE)</f>
        <v>Ustick_W</v>
      </c>
      <c r="H64">
        <f t="shared" si="0"/>
        <v>-0.87680985680985002</v>
      </c>
    </row>
    <row r="65" spans="1:8" x14ac:dyDescent="0.25">
      <c r="A65">
        <v>448695751</v>
      </c>
      <c r="B65" t="s">
        <v>7</v>
      </c>
      <c r="C65">
        <v>-1.05555555555555E-2</v>
      </c>
      <c r="D65">
        <v>-1.4907702931212099</v>
      </c>
      <c r="E65">
        <v>0.17021227783698301</v>
      </c>
      <c r="F65">
        <v>10</v>
      </c>
      <c r="G65" t="str">
        <f>VLOOKUP(A65,[1]inrix_key!$A:$C,3,FALSE)</f>
        <v>Riverside_N</v>
      </c>
      <c r="H65">
        <f t="shared" si="0"/>
        <v>-0.63333333333332997</v>
      </c>
    </row>
    <row r="66" spans="1:8" x14ac:dyDescent="0.25">
      <c r="A66">
        <v>448695752</v>
      </c>
      <c r="B66" t="s">
        <v>7</v>
      </c>
      <c r="C66">
        <v>-2.69733044733043E-3</v>
      </c>
      <c r="D66">
        <v>-0.51411021084660502</v>
      </c>
      <c r="E66">
        <v>0.61955937677081097</v>
      </c>
      <c r="F66">
        <v>10</v>
      </c>
      <c r="G66" t="str">
        <f>VLOOKUP(A66,[1]inrix_key!$A:$C,3,FALSE)</f>
        <v>IslandWood_N</v>
      </c>
      <c r="H66">
        <f t="shared" ref="H66:H129" si="1">60*C66</f>
        <v>-0.16183982683982581</v>
      </c>
    </row>
    <row r="67" spans="1:8" x14ac:dyDescent="0.25">
      <c r="A67">
        <v>448695753</v>
      </c>
      <c r="B67" t="s">
        <v>7</v>
      </c>
      <c r="C67">
        <v>5.6116519101813101E-3</v>
      </c>
      <c r="D67">
        <v>0.96272325941702697</v>
      </c>
      <c r="E67">
        <v>0.36083799920752901</v>
      </c>
      <c r="F67">
        <v>10</v>
      </c>
      <c r="G67" t="str">
        <f>VLOOKUP(A67,[1]inrix_key!$A:$C,3,FALSE)</f>
        <v>Riverside_S</v>
      </c>
      <c r="H67">
        <f t="shared" si="1"/>
        <v>0.33669911461087859</v>
      </c>
    </row>
    <row r="68" spans="1:8" x14ac:dyDescent="0.25">
      <c r="A68">
        <v>448695754</v>
      </c>
      <c r="B68" t="s">
        <v>7</v>
      </c>
      <c r="C68">
        <v>1.1351227449021501E-2</v>
      </c>
      <c r="D68">
        <v>0.99973811362555798</v>
      </c>
      <c r="E68">
        <v>0.34355642428705302</v>
      </c>
      <c r="F68">
        <v>10</v>
      </c>
      <c r="G68" t="str">
        <f>VLOOKUP(A68,[1]inrix_key!$A:$C,3,FALSE)</f>
        <v>State_S</v>
      </c>
      <c r="H68">
        <f t="shared" si="1"/>
        <v>0.68107364694129002</v>
      </c>
    </row>
    <row r="69" spans="1:8" x14ac:dyDescent="0.25">
      <c r="A69">
        <v>448697006</v>
      </c>
      <c r="B69" t="s">
        <v>7</v>
      </c>
      <c r="C69" s="1">
        <v>4.00326797385608E-5</v>
      </c>
      <c r="D69">
        <v>7.9140229226350098E-3</v>
      </c>
      <c r="E69">
        <v>0.99385823690782604</v>
      </c>
      <c r="F69">
        <v>10</v>
      </c>
      <c r="G69" t="str">
        <f>VLOOKUP(A69,[1]inrix_key!$A:$C,3,FALSE)</f>
        <v>StLukes_N</v>
      </c>
      <c r="H69">
        <f t="shared" si="1"/>
        <v>2.4019607843136482E-3</v>
      </c>
    </row>
    <row r="70" spans="1:8" x14ac:dyDescent="0.25">
      <c r="A70">
        <v>448697007</v>
      </c>
      <c r="B70" t="s">
        <v>7</v>
      </c>
      <c r="C70">
        <v>4.9651143790849697E-3</v>
      </c>
      <c r="D70">
        <v>1.23458232621995</v>
      </c>
      <c r="E70">
        <v>0.24824746763101399</v>
      </c>
      <c r="F70">
        <v>10</v>
      </c>
      <c r="G70" t="str">
        <f>VLOOKUP(A70,[1]inrix_key!$A:$C,3,FALSE)</f>
        <v>WB_N</v>
      </c>
      <c r="H70">
        <f t="shared" si="1"/>
        <v>0.2979068627450982</v>
      </c>
    </row>
    <row r="71" spans="1:8" x14ac:dyDescent="0.25">
      <c r="A71">
        <v>448697008</v>
      </c>
      <c r="B71" t="s">
        <v>7</v>
      </c>
      <c r="C71">
        <v>1.57590659340659E-2</v>
      </c>
      <c r="D71">
        <v>4.1529122718280798</v>
      </c>
      <c r="E71">
        <v>2.4736438696166801E-3</v>
      </c>
      <c r="F71">
        <v>10</v>
      </c>
      <c r="G71" t="str">
        <f>VLOOKUP(A71,[1]inrix_key!$A:$C,3,FALSE)</f>
        <v>RiverValley_S</v>
      </c>
      <c r="H71">
        <f t="shared" si="1"/>
        <v>0.94554395604395403</v>
      </c>
    </row>
    <row r="72" spans="1:8" x14ac:dyDescent="0.25">
      <c r="A72">
        <v>448697009</v>
      </c>
      <c r="B72" t="s">
        <v>7</v>
      </c>
      <c r="C72">
        <v>-2.2428418803419202E-3</v>
      </c>
      <c r="D72">
        <v>-0.335255402360082</v>
      </c>
      <c r="E72">
        <v>0.74511459930852098</v>
      </c>
      <c r="F72">
        <v>10</v>
      </c>
      <c r="G72" t="str">
        <f>VLOOKUP(A72,[1]inrix_key!$A:$C,3,FALSE)</f>
        <v>Ustick_S</v>
      </c>
      <c r="H72">
        <f t="shared" si="1"/>
        <v>-0.13457051282051521</v>
      </c>
    </row>
    <row r="73" spans="1:8" x14ac:dyDescent="0.25">
      <c r="A73">
        <v>448697010</v>
      </c>
      <c r="B73" t="s">
        <v>7</v>
      </c>
      <c r="C73">
        <v>-1.37564192343605E-3</v>
      </c>
      <c r="D73">
        <v>-0.47152543120187701</v>
      </c>
      <c r="E73">
        <v>0.64848677354491802</v>
      </c>
      <c r="F73">
        <v>10</v>
      </c>
      <c r="G73" t="str">
        <f>VLOOKUP(A73,[1]inrix_key!$A:$C,3,FALSE)</f>
        <v>RiverValley_N</v>
      </c>
      <c r="H73">
        <f t="shared" si="1"/>
        <v>-8.2538515406162999E-2</v>
      </c>
    </row>
    <row r="74" spans="1:8" x14ac:dyDescent="0.25">
      <c r="A74">
        <v>448697011</v>
      </c>
      <c r="B74" t="s">
        <v>7</v>
      </c>
      <c r="C74">
        <v>7.0987861811391004E-3</v>
      </c>
      <c r="D74">
        <v>1.0730726693097801</v>
      </c>
      <c r="E74">
        <v>0.31116650246503302</v>
      </c>
      <c r="F74">
        <v>10</v>
      </c>
      <c r="G74" t="str">
        <f>VLOOKUP(A74,[1]inrix_key!$A:$C,3,FALSE)</f>
        <v>Fairview_N</v>
      </c>
      <c r="H74">
        <f t="shared" si="1"/>
        <v>0.42592717086834603</v>
      </c>
    </row>
    <row r="75" spans="1:8" x14ac:dyDescent="0.25">
      <c r="A75">
        <v>448725595</v>
      </c>
      <c r="B75" t="s">
        <v>7</v>
      </c>
      <c r="C75">
        <v>-3.8318403002226401E-3</v>
      </c>
      <c r="D75">
        <v>-0.54223526500889196</v>
      </c>
      <c r="E75">
        <v>0.60082242981880796</v>
      </c>
      <c r="F75">
        <v>10</v>
      </c>
      <c r="G75" t="str">
        <f>VLOOKUP(A75,[1]inrix_key!$A:$C,3,FALSE)</f>
        <v>StLukes_S</v>
      </c>
      <c r="H75">
        <f t="shared" si="1"/>
        <v>-0.2299104180133584</v>
      </c>
    </row>
    <row r="76" spans="1:8" x14ac:dyDescent="0.25">
      <c r="A76">
        <v>448725596</v>
      </c>
      <c r="B76" t="s">
        <v>7</v>
      </c>
      <c r="C76">
        <v>-4.3878941320117703E-3</v>
      </c>
      <c r="D76">
        <v>-0.85047763892331896</v>
      </c>
      <c r="E76">
        <v>0.41711107835335598</v>
      </c>
      <c r="F76">
        <v>10</v>
      </c>
      <c r="G76" t="str">
        <f>VLOOKUP(A76,[1]inrix_key!$A:$C,3,FALSE)</f>
        <v>Franklin_S</v>
      </c>
      <c r="H76">
        <f t="shared" si="1"/>
        <v>-0.26327364792070623</v>
      </c>
    </row>
    <row r="77" spans="1:8" x14ac:dyDescent="0.25">
      <c r="A77">
        <v>448725597</v>
      </c>
      <c r="B77" t="s">
        <v>7</v>
      </c>
      <c r="C77">
        <v>1.5828499278499199E-2</v>
      </c>
      <c r="D77">
        <v>1.3189224432728099</v>
      </c>
      <c r="E77">
        <v>0.21976594908683</v>
      </c>
      <c r="F77">
        <v>10</v>
      </c>
      <c r="G77" t="str">
        <f>VLOOKUP(A77,[1]inrix_key!$A:$C,3,FALSE)</f>
        <v>Ustick_E</v>
      </c>
      <c r="H77">
        <f t="shared" si="1"/>
        <v>0.94970995670995195</v>
      </c>
    </row>
    <row r="78" spans="1:8" x14ac:dyDescent="0.25">
      <c r="A78">
        <v>448725599</v>
      </c>
      <c r="B78" t="s">
        <v>7</v>
      </c>
      <c r="C78">
        <v>3.8006010982481499E-2</v>
      </c>
      <c r="D78">
        <v>6.43775508536209</v>
      </c>
      <c r="E78">
        <v>1.19846151707499E-4</v>
      </c>
      <c r="F78">
        <v>10</v>
      </c>
      <c r="G78" t="str">
        <f>VLOOKUP(A78,[1]inrix_key!$A:$C,3,FALSE)</f>
        <v>Chinden_S</v>
      </c>
      <c r="H78">
        <f t="shared" si="1"/>
        <v>2.2803606589488901</v>
      </c>
    </row>
    <row r="79" spans="1:8" x14ac:dyDescent="0.25">
      <c r="A79">
        <v>474871675</v>
      </c>
      <c r="B79" t="s">
        <v>7</v>
      </c>
      <c r="C79">
        <v>1.46904761904762E-2</v>
      </c>
      <c r="D79">
        <v>0.59178533575847803</v>
      </c>
      <c r="E79">
        <v>0.57559811213486001</v>
      </c>
      <c r="F79">
        <v>7</v>
      </c>
      <c r="G79" t="str">
        <f>VLOOKUP(A79,[1]inrix_key!$A:$C,3,FALSE)</f>
        <v>McMillan_E</v>
      </c>
      <c r="H79">
        <f t="shared" si="1"/>
        <v>0.88142857142857201</v>
      </c>
    </row>
    <row r="80" spans="1:8" x14ac:dyDescent="0.25">
      <c r="A80">
        <v>484347992</v>
      </c>
      <c r="B80" t="s">
        <v>7</v>
      </c>
      <c r="C80">
        <v>-7.0707070707070696E-4</v>
      </c>
      <c r="D80">
        <v>-1.5525958787759899</v>
      </c>
      <c r="E80">
        <v>0.15493668544403999</v>
      </c>
      <c r="F80">
        <v>10</v>
      </c>
      <c r="G80">
        <f>VLOOKUP(A80,[1]inrix_key!$A:$C,3,FALSE)</f>
        <v>0</v>
      </c>
      <c r="H80">
        <f t="shared" si="1"/>
        <v>-4.242424242424242E-2</v>
      </c>
    </row>
    <row r="81" spans="1:8" x14ac:dyDescent="0.25">
      <c r="A81">
        <v>484366819</v>
      </c>
      <c r="B81" t="s">
        <v>7</v>
      </c>
      <c r="C81">
        <v>-3.7726984126984102E-2</v>
      </c>
      <c r="D81">
        <v>-2.3941885173040598</v>
      </c>
      <c r="E81">
        <v>4.0279850024611201E-2</v>
      </c>
      <c r="F81">
        <v>10</v>
      </c>
      <c r="G81" t="str">
        <f>VLOOKUP(A81,[1]inrix_key!$A:$C,3,FALSE)</f>
        <v>Pine_E</v>
      </c>
      <c r="H81">
        <f t="shared" si="1"/>
        <v>-2.2636190476190463</v>
      </c>
    </row>
    <row r="82" spans="1:8" x14ac:dyDescent="0.25">
      <c r="A82">
        <v>484371307</v>
      </c>
      <c r="B82" t="s">
        <v>7</v>
      </c>
      <c r="C82">
        <v>1.43571428571428E-3</v>
      </c>
      <c r="D82">
        <v>0.25232683687160301</v>
      </c>
      <c r="E82">
        <v>0.80645655884782896</v>
      </c>
      <c r="F82">
        <v>10</v>
      </c>
      <c r="G82" t="str">
        <f>VLOOKUP(A82,[1]inrix_key!$A:$C,3,FALSE)</f>
        <v>Pine_E</v>
      </c>
      <c r="H82">
        <f t="shared" si="1"/>
        <v>8.6142857142856799E-2</v>
      </c>
    </row>
    <row r="83" spans="1:8" x14ac:dyDescent="0.25">
      <c r="A83">
        <v>1187327938</v>
      </c>
      <c r="B83" t="s">
        <v>7</v>
      </c>
      <c r="C83">
        <v>-8.9889180264180205E-2</v>
      </c>
      <c r="D83">
        <v>-2.53032612686625</v>
      </c>
      <c r="E83">
        <v>3.2218127143828101E-2</v>
      </c>
      <c r="F83">
        <v>10</v>
      </c>
      <c r="G83" t="str">
        <f>VLOOKUP(A83,[1]inrix_key!$A:$C,3,FALSE)</f>
        <v>Franklin_W</v>
      </c>
      <c r="H83">
        <f t="shared" si="1"/>
        <v>-5.3933508158508126</v>
      </c>
    </row>
    <row r="84" spans="1:8" x14ac:dyDescent="0.25">
      <c r="A84">
        <v>1187333605</v>
      </c>
      <c r="B84" t="s">
        <v>7</v>
      </c>
      <c r="C84">
        <v>-9.4519147519147306E-3</v>
      </c>
      <c r="D84">
        <v>-1.4188645778336799</v>
      </c>
      <c r="E84">
        <v>0.18962764876869601</v>
      </c>
      <c r="F84">
        <v>10</v>
      </c>
      <c r="G84" t="str">
        <f>VLOOKUP(A84,[1]inrix_key!$A:$C,3,FALSE)</f>
        <v>Colchester_N</v>
      </c>
      <c r="H84">
        <f t="shared" si="1"/>
        <v>-0.56711488511488384</v>
      </c>
    </row>
    <row r="85" spans="1:8" x14ac:dyDescent="0.25">
      <c r="A85">
        <v>1187333665</v>
      </c>
      <c r="B85" t="s">
        <v>7</v>
      </c>
      <c r="C85">
        <v>8.1989177489177403E-3</v>
      </c>
      <c r="D85">
        <v>0.57793177948754404</v>
      </c>
      <c r="E85">
        <v>0.57748168660975296</v>
      </c>
      <c r="F85">
        <v>10</v>
      </c>
      <c r="G85" t="str">
        <f>VLOOKUP(A85,[1]inrix_key!$A:$C,3,FALSE)</f>
        <v>Chinden_N</v>
      </c>
      <c r="H85">
        <f t="shared" si="1"/>
        <v>0.49193506493506445</v>
      </c>
    </row>
    <row r="86" spans="1:8" x14ac:dyDescent="0.25">
      <c r="A86">
        <v>1187334983</v>
      </c>
      <c r="B86" t="s">
        <v>7</v>
      </c>
      <c r="C86">
        <v>-7.5884846362787002E-3</v>
      </c>
      <c r="D86">
        <v>-2.3173557430251002</v>
      </c>
      <c r="E86">
        <v>4.5683134763086303E-2</v>
      </c>
      <c r="F86">
        <v>10</v>
      </c>
      <c r="G86" t="str">
        <f>VLOOKUP(A86,[1]inrix_key!$A:$C,3,FALSE)</f>
        <v>Wainwright_N</v>
      </c>
      <c r="H86">
        <f t="shared" si="1"/>
        <v>-0.455309078176722</v>
      </c>
    </row>
    <row r="87" spans="1:8" x14ac:dyDescent="0.25">
      <c r="A87">
        <v>1187335042</v>
      </c>
      <c r="B87" t="s">
        <v>7</v>
      </c>
      <c r="C87">
        <v>-6.7600373482726399E-3</v>
      </c>
      <c r="D87">
        <v>-2.0623864322385899</v>
      </c>
      <c r="E87">
        <v>6.9212212348005897E-2</v>
      </c>
      <c r="F87">
        <v>10</v>
      </c>
      <c r="G87" t="str">
        <f>VLOOKUP(A87,[1]inrix_key!$A:$C,3,FALSE)</f>
        <v>Ustick_N</v>
      </c>
      <c r="H87">
        <f t="shared" si="1"/>
        <v>-0.40560224089635838</v>
      </c>
    </row>
    <row r="88" spans="1:8" x14ac:dyDescent="0.25">
      <c r="A88">
        <v>1187377510</v>
      </c>
      <c r="B88" t="s">
        <v>7</v>
      </c>
      <c r="C88">
        <v>-1.69533244533243E-4</v>
      </c>
      <c r="D88">
        <v>-4.6314895077586397E-2</v>
      </c>
      <c r="E88">
        <v>0.96407067975149197</v>
      </c>
      <c r="F88">
        <v>10</v>
      </c>
      <c r="G88" t="str">
        <f>VLOOKUP(A88,[1]inrix_key!$A:$C,3,FALSE)</f>
        <v>EB_S</v>
      </c>
      <c r="H88">
        <f t="shared" si="1"/>
        <v>-1.017199467199458E-2</v>
      </c>
    </row>
    <row r="89" spans="1:8" x14ac:dyDescent="0.25">
      <c r="A89">
        <v>1187466896</v>
      </c>
      <c r="B89" t="s">
        <v>7</v>
      </c>
      <c r="C89">
        <v>-2.0734962749668399E-3</v>
      </c>
      <c r="D89">
        <v>-0.37522578031123699</v>
      </c>
      <c r="E89">
        <v>0.71618274661572601</v>
      </c>
      <c r="F89">
        <v>10</v>
      </c>
      <c r="G89" t="str">
        <f>VLOOKUP(A89,[1]inrix_key!$A:$C,3,FALSE)</f>
        <v>IslandWood_S</v>
      </c>
      <c r="H89">
        <f t="shared" si="1"/>
        <v>-0.1244097764980104</v>
      </c>
    </row>
    <row r="90" spans="1:8" x14ac:dyDescent="0.25">
      <c r="A90">
        <v>1187466917</v>
      </c>
      <c r="B90" t="s">
        <v>7</v>
      </c>
      <c r="C90">
        <v>9.6536404771699093E-3</v>
      </c>
      <c r="D90">
        <v>2.1643843330933299</v>
      </c>
      <c r="E90">
        <v>5.8647351424050503E-2</v>
      </c>
      <c r="F90">
        <v>10</v>
      </c>
      <c r="G90" t="str">
        <f>VLOOKUP(A90,[1]inrix_key!$A:$C,3,FALSE)</f>
        <v>Colchester_S</v>
      </c>
      <c r="H90">
        <f t="shared" si="1"/>
        <v>0.57921842863019457</v>
      </c>
    </row>
    <row r="91" spans="1:8" x14ac:dyDescent="0.25">
      <c r="A91">
        <v>1187517040</v>
      </c>
      <c r="B91" t="s">
        <v>7</v>
      </c>
      <c r="C91">
        <v>-9.86066670257843E-3</v>
      </c>
      <c r="D91">
        <v>-1.6699215706788999</v>
      </c>
      <c r="E91">
        <v>0.12927421722976901</v>
      </c>
      <c r="F91">
        <v>10</v>
      </c>
      <c r="G91" t="str">
        <f>VLOOKUP(A91,[1]inrix_key!$A:$C,3,FALSE)</f>
        <v>Wainwright_S</v>
      </c>
      <c r="H91">
        <f t="shared" si="1"/>
        <v>-0.5916400021547058</v>
      </c>
    </row>
    <row r="92" spans="1:8" x14ac:dyDescent="0.25">
      <c r="A92">
        <v>1187532837</v>
      </c>
      <c r="B92" t="s">
        <v>7</v>
      </c>
      <c r="C92">
        <v>5.4571631799572697E-3</v>
      </c>
      <c r="D92">
        <v>1.02146976869457</v>
      </c>
      <c r="E92">
        <v>0.33370308758366601</v>
      </c>
      <c r="F92">
        <v>10</v>
      </c>
      <c r="G92" t="str">
        <f>VLOOKUP(A92,[1]inrix_key!$A:$C,3,FALSE)</f>
        <v>HobbleCreek_N</v>
      </c>
      <c r="H92">
        <f t="shared" si="1"/>
        <v>0.32742979079743617</v>
      </c>
    </row>
    <row r="93" spans="1:8" x14ac:dyDescent="0.25">
      <c r="A93">
        <v>1187548947</v>
      </c>
      <c r="B93" t="s">
        <v>7</v>
      </c>
      <c r="C93">
        <v>2.12944004524886E-2</v>
      </c>
      <c r="D93">
        <v>9.9161114528264207</v>
      </c>
      <c r="E93" s="1">
        <v>3.83797972678503E-6</v>
      </c>
      <c r="F93">
        <v>10</v>
      </c>
      <c r="G93" t="str">
        <f>VLOOKUP(A93,[1]inrix_key!$A:$C,3,FALSE)</f>
        <v>Fairview_S</v>
      </c>
      <c r="H93">
        <f t="shared" si="1"/>
        <v>1.277664027149316</v>
      </c>
    </row>
    <row r="94" spans="1:8" x14ac:dyDescent="0.25">
      <c r="A94">
        <v>1187548975</v>
      </c>
      <c r="B94" t="s">
        <v>7</v>
      </c>
      <c r="C94">
        <v>7.8610841772606098E-4</v>
      </c>
      <c r="D94">
        <v>0.13638348870962999</v>
      </c>
      <c r="E94">
        <v>0.89452011880839</v>
      </c>
      <c r="F94">
        <v>10</v>
      </c>
      <c r="G94" t="str">
        <f>VLOOKUP(A94,[1]inrix_key!$A:$C,3,FALSE)</f>
        <v>Pine_S</v>
      </c>
      <c r="H94">
        <f t="shared" si="1"/>
        <v>4.7166505063563659E-2</v>
      </c>
    </row>
    <row r="95" spans="1:8" x14ac:dyDescent="0.25">
      <c r="A95">
        <v>1187548987</v>
      </c>
      <c r="B95" t="s">
        <v>7</v>
      </c>
      <c r="C95">
        <v>-3.8848120017237501E-3</v>
      </c>
      <c r="D95">
        <v>-0.80248615230945097</v>
      </c>
      <c r="E95">
        <v>0.44294587554159698</v>
      </c>
      <c r="F95">
        <v>10</v>
      </c>
      <c r="G95" t="str">
        <f>VLOOKUP(A95,[1]inrix_key!$A:$C,3,FALSE)</f>
        <v>McMillan_S</v>
      </c>
      <c r="H95">
        <f t="shared" si="1"/>
        <v>-0.23308872010342502</v>
      </c>
    </row>
    <row r="96" spans="1:8" x14ac:dyDescent="0.25">
      <c r="A96">
        <v>1187549053</v>
      </c>
      <c r="B96" t="s">
        <v>7</v>
      </c>
      <c r="C96">
        <v>6.0295796523737698E-3</v>
      </c>
      <c r="D96">
        <v>1.4986337109547501</v>
      </c>
      <c r="E96">
        <v>0.168198423469408</v>
      </c>
      <c r="F96">
        <v>10</v>
      </c>
      <c r="G96" t="str">
        <f>VLOOKUP(A96,[1]inrix_key!$A:$C,3,FALSE)</f>
        <v>HobbleCreek_S</v>
      </c>
      <c r="H96">
        <f t="shared" si="1"/>
        <v>0.36177477914242617</v>
      </c>
    </row>
    <row r="97" spans="1:8" x14ac:dyDescent="0.25">
      <c r="A97">
        <v>1187577122</v>
      </c>
      <c r="B97" t="s">
        <v>7</v>
      </c>
      <c r="C97">
        <v>0.11928074009324</v>
      </c>
      <c r="D97">
        <v>6.4199969158633499</v>
      </c>
      <c r="E97">
        <v>1.22365960893996E-4</v>
      </c>
      <c r="F97">
        <v>10</v>
      </c>
      <c r="G97" t="str">
        <f>VLOOKUP(A97,[1]inrix_key!$A:$C,3,FALSE)</f>
        <v>Chinden_E</v>
      </c>
      <c r="H97">
        <f t="shared" si="1"/>
        <v>7.1568444055943994</v>
      </c>
    </row>
    <row r="98" spans="1:8" x14ac:dyDescent="0.25">
      <c r="A98">
        <v>1187579027</v>
      </c>
      <c r="B98" t="s">
        <v>7</v>
      </c>
      <c r="C98">
        <v>3.0565423465423399E-2</v>
      </c>
      <c r="D98">
        <v>4.1111198173173698</v>
      </c>
      <c r="E98">
        <v>2.6326057415731298E-3</v>
      </c>
      <c r="F98">
        <v>10</v>
      </c>
      <c r="G98" t="str">
        <f>VLOOKUP(A98,[1]inrix_key!$A:$C,3,FALSE)</f>
        <v>Fairview_E</v>
      </c>
      <c r="H98">
        <f t="shared" si="1"/>
        <v>1.8339254079254039</v>
      </c>
    </row>
    <row r="99" spans="1:8" x14ac:dyDescent="0.25">
      <c r="A99">
        <v>1187586311</v>
      </c>
      <c r="B99" t="s">
        <v>7</v>
      </c>
      <c r="C99">
        <v>2.1835714285714299E-2</v>
      </c>
      <c r="D99">
        <v>1.4427397218308899</v>
      </c>
      <c r="E99">
        <v>0.182977816256752</v>
      </c>
      <c r="F99">
        <v>10</v>
      </c>
      <c r="G99" t="str">
        <f>VLOOKUP(A99,[1]inrix_key!$A:$C,3,FALSE)</f>
        <v>EB_W</v>
      </c>
      <c r="H99">
        <f t="shared" si="1"/>
        <v>1.3101428571428579</v>
      </c>
    </row>
    <row r="100" spans="1:8" x14ac:dyDescent="0.25">
      <c r="A100">
        <v>1187612015</v>
      </c>
      <c r="B100" t="s">
        <v>7</v>
      </c>
      <c r="C100">
        <v>3.1033568882098201E-2</v>
      </c>
      <c r="D100">
        <v>2.6331761521024202</v>
      </c>
      <c r="E100">
        <v>2.7216556517740999E-2</v>
      </c>
      <c r="F100">
        <v>10</v>
      </c>
      <c r="G100" t="str">
        <f>VLOOKUP(A100,[1]inrix_key!$A:$C,3,FALSE)</f>
        <v>Chinden_W</v>
      </c>
      <c r="H100">
        <f t="shared" si="1"/>
        <v>1.8620141329258921</v>
      </c>
    </row>
    <row r="101" spans="1:8" x14ac:dyDescent="0.25">
      <c r="A101">
        <v>1187635580</v>
      </c>
      <c r="B101" t="s">
        <v>7</v>
      </c>
      <c r="C101">
        <v>3.2121905871905699E-4</v>
      </c>
      <c r="D101">
        <v>3.2214930333743202E-2</v>
      </c>
      <c r="E101">
        <v>0.97500376872677696</v>
      </c>
      <c r="F101">
        <v>10</v>
      </c>
      <c r="G101" t="str">
        <f>VLOOKUP(A101,[1]inrix_key!$A:$C,3,FALSE)</f>
        <v>WB_S</v>
      </c>
      <c r="H101">
        <f t="shared" si="1"/>
        <v>1.927314352314342E-2</v>
      </c>
    </row>
    <row r="102" spans="1:8" x14ac:dyDescent="0.25">
      <c r="A102">
        <v>1187636735</v>
      </c>
      <c r="B102" t="s">
        <v>7</v>
      </c>
      <c r="C102">
        <v>2.0776161746750002E-3</v>
      </c>
      <c r="D102">
        <v>0.69289138667087502</v>
      </c>
      <c r="E102">
        <v>0.50586233009442805</v>
      </c>
      <c r="F102">
        <v>10</v>
      </c>
      <c r="G102" t="str">
        <f>VLOOKUP(A102,[1]inrix_key!$A:$C,3,FALSE)</f>
        <v>WB_E</v>
      </c>
      <c r="H102">
        <f t="shared" si="1"/>
        <v>0.12465697048050001</v>
      </c>
    </row>
    <row r="103" spans="1:8" x14ac:dyDescent="0.25">
      <c r="A103">
        <v>1187654588</v>
      </c>
      <c r="B103" t="s">
        <v>7</v>
      </c>
      <c r="C103">
        <v>5.9948529411764997E-3</v>
      </c>
      <c r="D103">
        <v>1.7821203988811001</v>
      </c>
      <c r="E103">
        <v>0.108412551153052</v>
      </c>
      <c r="F103">
        <v>10</v>
      </c>
      <c r="G103" t="str">
        <f>VLOOKUP(A103,[1]inrix_key!$A:$C,3,FALSE)</f>
        <v>Franklin_N</v>
      </c>
      <c r="H103">
        <f t="shared" si="1"/>
        <v>0.35969117647059001</v>
      </c>
    </row>
    <row r="104" spans="1:8" x14ac:dyDescent="0.25">
      <c r="A104">
        <v>1187654609</v>
      </c>
      <c r="B104" t="s">
        <v>7</v>
      </c>
      <c r="C104">
        <v>9.5024509803921693E-3</v>
      </c>
      <c r="D104">
        <v>1.69193258880209</v>
      </c>
      <c r="E104">
        <v>0.124912406239441</v>
      </c>
      <c r="F104">
        <v>10</v>
      </c>
      <c r="G104" t="str">
        <f>VLOOKUP(A104,[1]inrix_key!$A:$C,3,FALSE)</f>
        <v>Pine_N</v>
      </c>
      <c r="H104">
        <f t="shared" si="1"/>
        <v>0.57014705882353012</v>
      </c>
    </row>
    <row r="105" spans="1:8" x14ac:dyDescent="0.25">
      <c r="A105">
        <v>117503882</v>
      </c>
      <c r="B105" t="s">
        <v>8</v>
      </c>
      <c r="C105">
        <v>4.0931372549019296E-3</v>
      </c>
      <c r="D105">
        <v>0.28275827130141601</v>
      </c>
      <c r="E105">
        <v>0.78554071558197403</v>
      </c>
      <c r="F105">
        <v>8</v>
      </c>
      <c r="G105" t="str">
        <f>VLOOKUP(A105,[1]inrix_key!$A:$C,3,FALSE)</f>
        <v>Franklin_E</v>
      </c>
      <c r="H105">
        <f t="shared" si="1"/>
        <v>0.24558823529411578</v>
      </c>
    </row>
    <row r="106" spans="1:8" x14ac:dyDescent="0.25">
      <c r="A106">
        <v>117772024</v>
      </c>
      <c r="B106" t="s">
        <v>8</v>
      </c>
      <c r="C106">
        <v>2.1019199346405202E-3</v>
      </c>
      <c r="D106">
        <v>0.48473536186938398</v>
      </c>
      <c r="E106">
        <v>0.64266413688679602</v>
      </c>
      <c r="F106">
        <v>8</v>
      </c>
      <c r="G106" t="str">
        <f>VLOOKUP(A106,[1]inrix_key!$A:$C,3,FALSE)</f>
        <v>IslandWood_W</v>
      </c>
      <c r="H106">
        <f t="shared" si="1"/>
        <v>0.12611519607843122</v>
      </c>
    </row>
    <row r="107" spans="1:8" x14ac:dyDescent="0.25">
      <c r="A107">
        <v>119241469</v>
      </c>
      <c r="B107" t="s">
        <v>8</v>
      </c>
      <c r="C107">
        <v>8.1401143790849999E-3</v>
      </c>
      <c r="D107">
        <v>1.0164795579530901</v>
      </c>
      <c r="E107">
        <v>0.34323981807182902</v>
      </c>
      <c r="F107">
        <v>8</v>
      </c>
      <c r="G107" t="str">
        <f>VLOOKUP(A107,[1]inrix_key!$A:$C,3,FALSE)</f>
        <v>Colchester_W</v>
      </c>
      <c r="H107">
        <f t="shared" si="1"/>
        <v>0.48840686274509998</v>
      </c>
    </row>
    <row r="108" spans="1:8" x14ac:dyDescent="0.25">
      <c r="A108">
        <v>119269713</v>
      </c>
      <c r="B108" t="s">
        <v>8</v>
      </c>
      <c r="C108">
        <v>1.53033088235293E-3</v>
      </c>
      <c r="D108">
        <v>0.30756572129570398</v>
      </c>
      <c r="E108">
        <v>0.76736192246262303</v>
      </c>
      <c r="F108">
        <v>8</v>
      </c>
      <c r="G108" t="str">
        <f>VLOOKUP(A108,[1]inrix_key!$A:$C,3,FALSE)</f>
        <v>Colchester_E</v>
      </c>
      <c r="H108">
        <f t="shared" si="1"/>
        <v>9.1819852941175797E-2</v>
      </c>
    </row>
    <row r="109" spans="1:8" x14ac:dyDescent="0.25">
      <c r="A109">
        <v>119501618</v>
      </c>
      <c r="B109" t="s">
        <v>8</v>
      </c>
      <c r="C109">
        <v>-2.85089869281046E-2</v>
      </c>
      <c r="D109">
        <v>-3.9917389497594198</v>
      </c>
      <c r="E109">
        <v>5.2448037038831004E-3</v>
      </c>
      <c r="F109">
        <v>8</v>
      </c>
      <c r="G109" t="str">
        <f>VLOOKUP(A109,[1]inrix_key!$A:$C,3,FALSE)</f>
        <v>McMillan_N</v>
      </c>
      <c r="H109">
        <f t="shared" si="1"/>
        <v>-1.710539215686276</v>
      </c>
    </row>
    <row r="110" spans="1:8" x14ac:dyDescent="0.25">
      <c r="A110">
        <v>384121516</v>
      </c>
      <c r="B110" t="s">
        <v>8</v>
      </c>
      <c r="C110">
        <v>-1.7777777777777701E-2</v>
      </c>
      <c r="D110">
        <v>-2.5346160665483701</v>
      </c>
      <c r="E110">
        <v>3.8969255211087697E-2</v>
      </c>
      <c r="F110">
        <v>8</v>
      </c>
      <c r="G110" t="str">
        <f>VLOOKUP(A110,[1]inrix_key!$A:$C,3,FALSE)</f>
        <v>McMillan_W</v>
      </c>
      <c r="H110">
        <f t="shared" si="1"/>
        <v>-1.066666666666662</v>
      </c>
    </row>
    <row r="111" spans="1:8" x14ac:dyDescent="0.25">
      <c r="A111">
        <v>384139881</v>
      </c>
      <c r="B111" t="s">
        <v>8</v>
      </c>
      <c r="C111">
        <v>-1.09135008169935E-2</v>
      </c>
      <c r="D111">
        <v>-1.1997078785734101</v>
      </c>
      <c r="E111">
        <v>0.269278385197668</v>
      </c>
      <c r="F111">
        <v>8</v>
      </c>
      <c r="G111" t="str">
        <f>VLOOKUP(A111,[1]inrix_key!$A:$C,3,FALSE)</f>
        <v>Pine_W</v>
      </c>
      <c r="H111">
        <f t="shared" si="1"/>
        <v>-0.65481004901961004</v>
      </c>
    </row>
    <row r="112" spans="1:8" x14ac:dyDescent="0.25">
      <c r="A112">
        <v>428958433</v>
      </c>
      <c r="B112" t="s">
        <v>8</v>
      </c>
      <c r="C112">
        <v>9.1952614379084904E-3</v>
      </c>
      <c r="D112">
        <v>1.36284311318008</v>
      </c>
      <c r="E112">
        <v>0.21514925353693301</v>
      </c>
      <c r="F112">
        <v>8</v>
      </c>
      <c r="G112" t="str">
        <f>VLOOKUP(A112,[1]inrix_key!$A:$C,3,FALSE)</f>
        <v>EB_S</v>
      </c>
      <c r="H112">
        <f t="shared" si="1"/>
        <v>0.5517156862745094</v>
      </c>
    </row>
    <row r="113" spans="1:8" x14ac:dyDescent="0.25">
      <c r="A113">
        <v>428958434</v>
      </c>
      <c r="B113" t="s">
        <v>8</v>
      </c>
      <c r="C113">
        <v>-2.0318627450980301E-2</v>
      </c>
      <c r="D113">
        <v>-1.4238296306091001</v>
      </c>
      <c r="E113">
        <v>0.197506833341624</v>
      </c>
      <c r="F113">
        <v>8</v>
      </c>
      <c r="G113">
        <f>VLOOKUP(A113,[1]inrix_key!$A:$C,3,FALSE)</f>
        <v>0</v>
      </c>
      <c r="H113">
        <f t="shared" si="1"/>
        <v>-1.2191176470588181</v>
      </c>
    </row>
    <row r="114" spans="1:8" x14ac:dyDescent="0.25">
      <c r="A114">
        <v>428958435</v>
      </c>
      <c r="B114" t="s">
        <v>8</v>
      </c>
      <c r="C114">
        <v>4.9763071895424803E-2</v>
      </c>
      <c r="D114">
        <v>1.3001394380654501</v>
      </c>
      <c r="E114">
        <v>0.23472263530781501</v>
      </c>
      <c r="F114">
        <v>8</v>
      </c>
      <c r="G114">
        <f>VLOOKUP(A114,[1]inrix_key!$A:$C,3,FALSE)</f>
        <v>0</v>
      </c>
      <c r="H114">
        <f t="shared" si="1"/>
        <v>2.985784313725488</v>
      </c>
    </row>
    <row r="115" spans="1:8" x14ac:dyDescent="0.25">
      <c r="A115">
        <v>448694747</v>
      </c>
      <c r="B115" t="s">
        <v>8</v>
      </c>
      <c r="C115">
        <v>1.12091503267973E-2</v>
      </c>
      <c r="D115">
        <v>0.86264490237902403</v>
      </c>
      <c r="E115">
        <v>0.41690496123744503</v>
      </c>
      <c r="F115">
        <v>8</v>
      </c>
      <c r="G115" t="str">
        <f>VLOOKUP(A115,[1]inrix_key!$A:$C,3,FALSE)</f>
        <v>Fairview_W</v>
      </c>
      <c r="H115">
        <f t="shared" si="1"/>
        <v>0.67254901960783797</v>
      </c>
    </row>
    <row r="116" spans="1:8" x14ac:dyDescent="0.25">
      <c r="A116">
        <v>448694757</v>
      </c>
      <c r="B116" t="s">
        <v>8</v>
      </c>
      <c r="C116">
        <v>6.0612745098039197E-2</v>
      </c>
      <c r="D116">
        <v>2.8423874980895398</v>
      </c>
      <c r="E116">
        <v>2.4959085305503701E-2</v>
      </c>
      <c r="F116">
        <v>8</v>
      </c>
      <c r="G116" t="str">
        <f>VLOOKUP(A116,[1]inrix_key!$A:$C,3,FALSE)</f>
        <v>Ustick_W</v>
      </c>
      <c r="H116">
        <f t="shared" si="1"/>
        <v>3.636764705882352</v>
      </c>
    </row>
    <row r="117" spans="1:8" x14ac:dyDescent="0.25">
      <c r="A117">
        <v>448695751</v>
      </c>
      <c r="B117" t="s">
        <v>8</v>
      </c>
      <c r="C117">
        <v>8.2802287581699302E-3</v>
      </c>
      <c r="D117">
        <v>2.19286030578747</v>
      </c>
      <c r="E117">
        <v>6.4406246065170203E-2</v>
      </c>
      <c r="F117">
        <v>8</v>
      </c>
      <c r="G117" t="str">
        <f>VLOOKUP(A117,[1]inrix_key!$A:$C,3,FALSE)</f>
        <v>Riverside_N</v>
      </c>
      <c r="H117">
        <f t="shared" si="1"/>
        <v>0.49681372549019581</v>
      </c>
    </row>
    <row r="118" spans="1:8" x14ac:dyDescent="0.25">
      <c r="A118">
        <v>448695752</v>
      </c>
      <c r="B118" t="s">
        <v>8</v>
      </c>
      <c r="C118">
        <v>5.1633986928105099E-3</v>
      </c>
      <c r="D118">
        <v>1.9471438693102401</v>
      </c>
      <c r="E118">
        <v>9.2556101057243698E-2</v>
      </c>
      <c r="F118">
        <v>8</v>
      </c>
      <c r="G118" t="str">
        <f>VLOOKUP(A118,[1]inrix_key!$A:$C,3,FALSE)</f>
        <v>IslandWood_N</v>
      </c>
      <c r="H118">
        <f t="shared" si="1"/>
        <v>0.30980392156863057</v>
      </c>
    </row>
    <row r="119" spans="1:8" x14ac:dyDescent="0.25">
      <c r="A119">
        <v>448695753</v>
      </c>
      <c r="B119" t="s">
        <v>8</v>
      </c>
      <c r="C119">
        <v>7.4146241830065296E-2</v>
      </c>
      <c r="D119">
        <v>5.0406322561841197</v>
      </c>
      <c r="E119">
        <v>1.49542600099701E-3</v>
      </c>
      <c r="F119">
        <v>8</v>
      </c>
      <c r="G119" t="str">
        <f>VLOOKUP(A119,[1]inrix_key!$A:$C,3,FALSE)</f>
        <v>Riverside_S</v>
      </c>
      <c r="H119">
        <f t="shared" si="1"/>
        <v>4.4487745098039175</v>
      </c>
    </row>
    <row r="120" spans="1:8" x14ac:dyDescent="0.25">
      <c r="A120">
        <v>448695754</v>
      </c>
      <c r="B120" t="s">
        <v>8</v>
      </c>
      <c r="C120">
        <v>-2.1004901960784299E-2</v>
      </c>
      <c r="D120">
        <v>-2.46265481404191</v>
      </c>
      <c r="E120">
        <v>4.3296516992704599E-2</v>
      </c>
      <c r="F120">
        <v>8</v>
      </c>
      <c r="G120" t="str">
        <f>VLOOKUP(A120,[1]inrix_key!$A:$C,3,FALSE)</f>
        <v>State_S</v>
      </c>
      <c r="H120">
        <f t="shared" si="1"/>
        <v>-1.2602941176470579</v>
      </c>
    </row>
    <row r="121" spans="1:8" x14ac:dyDescent="0.25">
      <c r="A121">
        <v>448697006</v>
      </c>
      <c r="B121" t="s">
        <v>8</v>
      </c>
      <c r="C121">
        <v>6.1605392156862698E-2</v>
      </c>
      <c r="D121">
        <v>5.1579886368874801</v>
      </c>
      <c r="E121">
        <v>1.3123701814613199E-3</v>
      </c>
      <c r="F121">
        <v>8</v>
      </c>
      <c r="G121" t="str">
        <f>VLOOKUP(A121,[1]inrix_key!$A:$C,3,FALSE)</f>
        <v>StLukes_N</v>
      </c>
      <c r="H121">
        <f t="shared" si="1"/>
        <v>3.696323529411762</v>
      </c>
    </row>
    <row r="122" spans="1:8" x14ac:dyDescent="0.25">
      <c r="A122">
        <v>448697007</v>
      </c>
      <c r="B122" t="s">
        <v>8</v>
      </c>
      <c r="C122">
        <v>4.5776143790849599E-2</v>
      </c>
      <c r="D122">
        <v>2.02085963317304</v>
      </c>
      <c r="E122">
        <v>8.3024963026382001E-2</v>
      </c>
      <c r="F122">
        <v>8</v>
      </c>
      <c r="G122" t="str">
        <f>VLOOKUP(A122,[1]inrix_key!$A:$C,3,FALSE)</f>
        <v>WB_N</v>
      </c>
      <c r="H122">
        <f t="shared" si="1"/>
        <v>2.746568627450976</v>
      </c>
    </row>
    <row r="123" spans="1:8" x14ac:dyDescent="0.25">
      <c r="A123">
        <v>448697008</v>
      </c>
      <c r="B123" t="s">
        <v>8</v>
      </c>
      <c r="C123">
        <v>2.156454248366E-2</v>
      </c>
      <c r="D123">
        <v>1.99722782072511</v>
      </c>
      <c r="E123">
        <v>8.5970080106597901E-2</v>
      </c>
      <c r="F123">
        <v>8</v>
      </c>
      <c r="G123" t="str">
        <f>VLOOKUP(A123,[1]inrix_key!$A:$C,3,FALSE)</f>
        <v>RiverValley_S</v>
      </c>
      <c r="H123">
        <f t="shared" si="1"/>
        <v>1.2938725490195999</v>
      </c>
    </row>
    <row r="124" spans="1:8" x14ac:dyDescent="0.25">
      <c r="A124">
        <v>448697009</v>
      </c>
      <c r="B124" t="s">
        <v>8</v>
      </c>
      <c r="C124">
        <v>-9.3129084967320197E-2</v>
      </c>
      <c r="D124">
        <v>-3.5073964984522199</v>
      </c>
      <c r="E124">
        <v>9.8939935385510807E-3</v>
      </c>
      <c r="F124">
        <v>8</v>
      </c>
      <c r="G124" t="str">
        <f>VLOOKUP(A124,[1]inrix_key!$A:$C,3,FALSE)</f>
        <v>Ustick_S</v>
      </c>
      <c r="H124">
        <f t="shared" si="1"/>
        <v>-5.5877450980392123</v>
      </c>
    </row>
    <row r="125" spans="1:8" x14ac:dyDescent="0.25">
      <c r="A125">
        <v>448697010</v>
      </c>
      <c r="B125" t="s">
        <v>8</v>
      </c>
      <c r="C125">
        <v>2.2446895424836501E-2</v>
      </c>
      <c r="D125">
        <v>1.4155253239908301</v>
      </c>
      <c r="E125">
        <v>0.199830756538323</v>
      </c>
      <c r="F125">
        <v>8</v>
      </c>
      <c r="G125" t="str">
        <f>VLOOKUP(A125,[1]inrix_key!$A:$C,3,FALSE)</f>
        <v>RiverValley_N</v>
      </c>
      <c r="H125">
        <f t="shared" si="1"/>
        <v>1.34681372549019</v>
      </c>
    </row>
    <row r="126" spans="1:8" x14ac:dyDescent="0.25">
      <c r="A126">
        <v>448697011</v>
      </c>
      <c r="B126" t="s">
        <v>8</v>
      </c>
      <c r="C126">
        <v>5.2900326797386101E-3</v>
      </c>
      <c r="D126">
        <v>0.480174310185917</v>
      </c>
      <c r="E126">
        <v>0.64574534543273199</v>
      </c>
      <c r="F126">
        <v>8</v>
      </c>
      <c r="G126" t="str">
        <f>VLOOKUP(A126,[1]inrix_key!$A:$C,3,FALSE)</f>
        <v>Fairview_N</v>
      </c>
      <c r="H126">
        <f t="shared" si="1"/>
        <v>0.31740196078431659</v>
      </c>
    </row>
    <row r="127" spans="1:8" x14ac:dyDescent="0.25">
      <c r="A127">
        <v>448725595</v>
      </c>
      <c r="B127" t="s">
        <v>8</v>
      </c>
      <c r="C127">
        <v>9.4566993464052299E-3</v>
      </c>
      <c r="D127">
        <v>1.86381566002272</v>
      </c>
      <c r="E127">
        <v>0.10462370715982799</v>
      </c>
      <c r="F127">
        <v>8</v>
      </c>
      <c r="G127" t="str">
        <f>VLOOKUP(A127,[1]inrix_key!$A:$C,3,FALSE)</f>
        <v>StLukes_S</v>
      </c>
      <c r="H127">
        <f t="shared" si="1"/>
        <v>0.56740196078431382</v>
      </c>
    </row>
    <row r="128" spans="1:8" x14ac:dyDescent="0.25">
      <c r="A128">
        <v>448725596</v>
      </c>
      <c r="B128" t="s">
        <v>8</v>
      </c>
      <c r="C128">
        <v>4.5710784313725402E-3</v>
      </c>
      <c r="D128">
        <v>0.79687575999854199</v>
      </c>
      <c r="E128">
        <v>0.45170020818647599</v>
      </c>
      <c r="F128">
        <v>8</v>
      </c>
      <c r="G128" t="str">
        <f>VLOOKUP(A128,[1]inrix_key!$A:$C,3,FALSE)</f>
        <v>Franklin_S</v>
      </c>
      <c r="H128">
        <f t="shared" si="1"/>
        <v>0.27426470588235241</v>
      </c>
    </row>
    <row r="129" spans="1:8" x14ac:dyDescent="0.25">
      <c r="A129">
        <v>448725597</v>
      </c>
      <c r="B129" t="s">
        <v>8</v>
      </c>
      <c r="C129">
        <v>3.8627450980392102E-2</v>
      </c>
      <c r="D129">
        <v>1.5849413971880899</v>
      </c>
      <c r="E129">
        <v>0.156998415626631</v>
      </c>
      <c r="F129">
        <v>8</v>
      </c>
      <c r="G129" t="str">
        <f>VLOOKUP(A129,[1]inrix_key!$A:$C,3,FALSE)</f>
        <v>Ustick_E</v>
      </c>
      <c r="H129">
        <f t="shared" si="1"/>
        <v>2.3176470588235261</v>
      </c>
    </row>
    <row r="130" spans="1:8" x14ac:dyDescent="0.25">
      <c r="A130">
        <v>448725599</v>
      </c>
      <c r="B130" t="s">
        <v>8</v>
      </c>
      <c r="C130">
        <v>1.7965686274509701E-2</v>
      </c>
      <c r="D130">
        <v>2.0851616314501502</v>
      </c>
      <c r="E130">
        <v>7.5507511902102198E-2</v>
      </c>
      <c r="F130">
        <v>8</v>
      </c>
      <c r="G130" t="str">
        <f>VLOOKUP(A130,[1]inrix_key!$A:$C,3,FALSE)</f>
        <v>Chinden_S</v>
      </c>
      <c r="H130">
        <f t="shared" ref="H130:H193" si="2">60*C130</f>
        <v>1.0779411764705822</v>
      </c>
    </row>
    <row r="131" spans="1:8" x14ac:dyDescent="0.25">
      <c r="A131">
        <v>474871675</v>
      </c>
      <c r="B131" t="s">
        <v>8</v>
      </c>
      <c r="C131">
        <v>-1.1674836601307199E-2</v>
      </c>
      <c r="D131">
        <v>-2.0798253116869598</v>
      </c>
      <c r="E131">
        <v>7.6104763586131205E-2</v>
      </c>
      <c r="F131">
        <v>8</v>
      </c>
      <c r="G131" t="str">
        <f>VLOOKUP(A131,[1]inrix_key!$A:$C,3,FALSE)</f>
        <v>McMillan_E</v>
      </c>
      <c r="H131">
        <f t="shared" si="2"/>
        <v>-0.70049019607843199</v>
      </c>
    </row>
    <row r="132" spans="1:8" x14ac:dyDescent="0.25">
      <c r="A132">
        <v>484347992</v>
      </c>
      <c r="B132" t="s">
        <v>8</v>
      </c>
      <c r="C132">
        <v>-2.6960784313725603E-4</v>
      </c>
      <c r="D132">
        <v>-0.47760210772421602</v>
      </c>
      <c r="E132">
        <v>0.64748629087264398</v>
      </c>
      <c r="F132">
        <v>8</v>
      </c>
      <c r="G132">
        <f>VLOOKUP(A132,[1]inrix_key!$A:$C,3,FALSE)</f>
        <v>0</v>
      </c>
      <c r="H132">
        <f t="shared" si="2"/>
        <v>-1.6176470588235362E-2</v>
      </c>
    </row>
    <row r="133" spans="1:8" x14ac:dyDescent="0.25">
      <c r="A133">
        <v>484366819</v>
      </c>
      <c r="B133" t="s">
        <v>8</v>
      </c>
      <c r="C133">
        <v>1.3480392156862699E-3</v>
      </c>
      <c r="D133">
        <v>0.375718884146785</v>
      </c>
      <c r="E133">
        <v>0.71825294511419302</v>
      </c>
      <c r="F133">
        <v>8</v>
      </c>
      <c r="G133" t="str">
        <f>VLOOKUP(A133,[1]inrix_key!$A:$C,3,FALSE)</f>
        <v>Pine_E</v>
      </c>
      <c r="H133">
        <f t="shared" si="2"/>
        <v>8.0882352941176197E-2</v>
      </c>
    </row>
    <row r="134" spans="1:8" x14ac:dyDescent="0.25">
      <c r="A134">
        <v>484371307</v>
      </c>
      <c r="B134" t="s">
        <v>8</v>
      </c>
      <c r="C134">
        <v>3.3619281045751698E-3</v>
      </c>
      <c r="D134">
        <v>0.99979084045431599</v>
      </c>
      <c r="E134">
        <v>0.35071107682073499</v>
      </c>
      <c r="F134">
        <v>8</v>
      </c>
      <c r="G134" t="str">
        <f>VLOOKUP(A134,[1]inrix_key!$A:$C,3,FALSE)</f>
        <v>Pine_E</v>
      </c>
      <c r="H134">
        <f t="shared" si="2"/>
        <v>0.2017156862745102</v>
      </c>
    </row>
    <row r="135" spans="1:8" x14ac:dyDescent="0.25">
      <c r="A135">
        <v>1187327938</v>
      </c>
      <c r="B135" t="s">
        <v>8</v>
      </c>
      <c r="C135">
        <v>-1.38888888888888E-2</v>
      </c>
      <c r="D135">
        <v>-0.67834786644879996</v>
      </c>
      <c r="E135">
        <v>0.51933893807173703</v>
      </c>
      <c r="F135">
        <v>8</v>
      </c>
      <c r="G135" t="str">
        <f>VLOOKUP(A135,[1]inrix_key!$A:$C,3,FALSE)</f>
        <v>Franklin_W</v>
      </c>
      <c r="H135">
        <f t="shared" si="2"/>
        <v>-0.83333333333332793</v>
      </c>
    </row>
    <row r="136" spans="1:8" x14ac:dyDescent="0.25">
      <c r="A136">
        <v>1187333605</v>
      </c>
      <c r="B136" t="s">
        <v>8</v>
      </c>
      <c r="C136">
        <v>-4.5404411764705901E-2</v>
      </c>
      <c r="D136">
        <v>-2.3034884814856</v>
      </c>
      <c r="E136">
        <v>5.4709147584693599E-2</v>
      </c>
      <c r="F136">
        <v>8</v>
      </c>
      <c r="G136" t="str">
        <f>VLOOKUP(A136,[1]inrix_key!$A:$C,3,FALSE)</f>
        <v>Colchester_N</v>
      </c>
      <c r="H136">
        <f t="shared" si="2"/>
        <v>-2.7242647058823541</v>
      </c>
    </row>
    <row r="137" spans="1:8" x14ac:dyDescent="0.25">
      <c r="A137">
        <v>1187333665</v>
      </c>
      <c r="B137" t="s">
        <v>8</v>
      </c>
      <c r="C137">
        <v>-9.6650326797385593E-3</v>
      </c>
      <c r="D137">
        <v>-0.36065726755729899</v>
      </c>
      <c r="E137">
        <v>0.72899353795448596</v>
      </c>
      <c r="F137">
        <v>8</v>
      </c>
      <c r="G137" t="str">
        <f>VLOOKUP(A137,[1]inrix_key!$A:$C,3,FALSE)</f>
        <v>Chinden_N</v>
      </c>
      <c r="H137">
        <f t="shared" si="2"/>
        <v>-0.57990196078431355</v>
      </c>
    </row>
    <row r="138" spans="1:8" x14ac:dyDescent="0.25">
      <c r="A138">
        <v>1187334983</v>
      </c>
      <c r="B138" t="s">
        <v>8</v>
      </c>
      <c r="C138">
        <v>-8.5661764705882507E-3</v>
      </c>
      <c r="D138">
        <v>-0.46808612942598898</v>
      </c>
      <c r="E138">
        <v>0.65394751949652596</v>
      </c>
      <c r="F138">
        <v>8</v>
      </c>
      <c r="G138" t="str">
        <f>VLOOKUP(A138,[1]inrix_key!$A:$C,3,FALSE)</f>
        <v>Wainwright_N</v>
      </c>
      <c r="H138">
        <f t="shared" si="2"/>
        <v>-0.51397058823529507</v>
      </c>
    </row>
    <row r="139" spans="1:8" x14ac:dyDescent="0.25">
      <c r="A139">
        <v>1187335042</v>
      </c>
      <c r="B139" t="s">
        <v>8</v>
      </c>
      <c r="C139">
        <v>-1.6768790849673101E-2</v>
      </c>
      <c r="D139">
        <v>-0.46267986177958698</v>
      </c>
      <c r="E139">
        <v>0.65763257752453896</v>
      </c>
      <c r="F139">
        <v>8</v>
      </c>
      <c r="G139" t="str">
        <f>VLOOKUP(A139,[1]inrix_key!$A:$C,3,FALSE)</f>
        <v>Ustick_N</v>
      </c>
      <c r="H139">
        <f t="shared" si="2"/>
        <v>-1.0061274509803861</v>
      </c>
    </row>
    <row r="140" spans="1:8" x14ac:dyDescent="0.25">
      <c r="A140">
        <v>1187377510</v>
      </c>
      <c r="B140" t="s">
        <v>8</v>
      </c>
      <c r="C140">
        <v>2.3647875816993399E-2</v>
      </c>
      <c r="D140">
        <v>0.99717973804429505</v>
      </c>
      <c r="E140">
        <v>0.35189138301452499</v>
      </c>
      <c r="F140">
        <v>8</v>
      </c>
      <c r="G140" t="str">
        <f>VLOOKUP(A140,[1]inrix_key!$A:$C,3,FALSE)</f>
        <v>EB_S</v>
      </c>
      <c r="H140">
        <f t="shared" si="2"/>
        <v>1.4188725490196039</v>
      </c>
    </row>
    <row r="141" spans="1:8" x14ac:dyDescent="0.25">
      <c r="A141">
        <v>1187466896</v>
      </c>
      <c r="B141" t="s">
        <v>8</v>
      </c>
      <c r="C141">
        <v>0.12253267973856199</v>
      </c>
      <c r="D141">
        <v>10.2335732463119</v>
      </c>
      <c r="E141" s="1">
        <v>1.83698328805595E-5</v>
      </c>
      <c r="F141">
        <v>8</v>
      </c>
      <c r="G141" t="str">
        <f>VLOOKUP(A141,[1]inrix_key!$A:$C,3,FALSE)</f>
        <v>IslandWood_S</v>
      </c>
      <c r="H141">
        <f t="shared" si="2"/>
        <v>7.3519607843137198</v>
      </c>
    </row>
    <row r="142" spans="1:8" x14ac:dyDescent="0.25">
      <c r="A142">
        <v>1187466917</v>
      </c>
      <c r="B142" t="s">
        <v>8</v>
      </c>
      <c r="C142">
        <v>7.61274509803921E-2</v>
      </c>
      <c r="D142">
        <v>4.2919297900295703</v>
      </c>
      <c r="E142">
        <v>3.6021358867875698E-3</v>
      </c>
      <c r="F142">
        <v>8</v>
      </c>
      <c r="G142" t="str">
        <f>VLOOKUP(A142,[1]inrix_key!$A:$C,3,FALSE)</f>
        <v>Colchester_S</v>
      </c>
      <c r="H142">
        <f t="shared" si="2"/>
        <v>4.5676470588235256</v>
      </c>
    </row>
    <row r="143" spans="1:8" x14ac:dyDescent="0.25">
      <c r="A143">
        <v>1187517040</v>
      </c>
      <c r="B143" t="s">
        <v>8</v>
      </c>
      <c r="C143">
        <v>-7.0114379084967399E-2</v>
      </c>
      <c r="D143">
        <v>-4.6203510108664902</v>
      </c>
      <c r="E143">
        <v>2.4251378181779902E-3</v>
      </c>
      <c r="F143">
        <v>8</v>
      </c>
      <c r="G143" t="str">
        <f>VLOOKUP(A143,[1]inrix_key!$A:$C,3,FALSE)</f>
        <v>Wainwright_S</v>
      </c>
      <c r="H143">
        <f t="shared" si="2"/>
        <v>-4.2068627450980438</v>
      </c>
    </row>
    <row r="144" spans="1:8" x14ac:dyDescent="0.25">
      <c r="A144">
        <v>1187532837</v>
      </c>
      <c r="B144" t="s">
        <v>8</v>
      </c>
      <c r="C144">
        <v>2.8880718954248301E-3</v>
      </c>
      <c r="D144">
        <v>0.99732652037378</v>
      </c>
      <c r="E144">
        <v>0.35182495079075998</v>
      </c>
      <c r="F144">
        <v>8</v>
      </c>
      <c r="G144" t="str">
        <f>VLOOKUP(A144,[1]inrix_key!$A:$C,3,FALSE)</f>
        <v>HobbleCreek_N</v>
      </c>
      <c r="H144">
        <f t="shared" si="2"/>
        <v>0.1732843137254898</v>
      </c>
    </row>
    <row r="145" spans="1:8" x14ac:dyDescent="0.25">
      <c r="A145">
        <v>1187548947</v>
      </c>
      <c r="B145" t="s">
        <v>8</v>
      </c>
      <c r="C145">
        <v>-1.08006535947712E-2</v>
      </c>
      <c r="D145">
        <v>-1.24394283283445</v>
      </c>
      <c r="E145">
        <v>0.25355852041730298</v>
      </c>
      <c r="F145">
        <v>8</v>
      </c>
      <c r="G145" t="str">
        <f>VLOOKUP(A145,[1]inrix_key!$A:$C,3,FALSE)</f>
        <v>Fairview_S</v>
      </c>
      <c r="H145">
        <f t="shared" si="2"/>
        <v>-0.64803921568627199</v>
      </c>
    </row>
    <row r="146" spans="1:8" x14ac:dyDescent="0.25">
      <c r="A146">
        <v>1187548975</v>
      </c>
      <c r="B146" t="s">
        <v>8</v>
      </c>
      <c r="C146">
        <v>5.9995915032679703E-2</v>
      </c>
      <c r="D146">
        <v>1.52476298412121</v>
      </c>
      <c r="E146">
        <v>0.171144838000787</v>
      </c>
      <c r="F146">
        <v>8</v>
      </c>
      <c r="G146" t="str">
        <f>VLOOKUP(A146,[1]inrix_key!$A:$C,3,FALSE)</f>
        <v>Pine_S</v>
      </c>
      <c r="H146">
        <f t="shared" si="2"/>
        <v>3.5997549019607824</v>
      </c>
    </row>
    <row r="147" spans="1:8" x14ac:dyDescent="0.25">
      <c r="A147">
        <v>1187548987</v>
      </c>
      <c r="B147" t="s">
        <v>8</v>
      </c>
      <c r="C147">
        <v>-8.16911764705881E-2</v>
      </c>
      <c r="D147">
        <v>-2.1780899168557499</v>
      </c>
      <c r="E147">
        <v>6.5826080514683999E-2</v>
      </c>
      <c r="F147">
        <v>8</v>
      </c>
      <c r="G147" t="str">
        <f>VLOOKUP(A147,[1]inrix_key!$A:$C,3,FALSE)</f>
        <v>McMillan_S</v>
      </c>
      <c r="H147">
        <f t="shared" si="2"/>
        <v>-4.901470588235286</v>
      </c>
    </row>
    <row r="148" spans="1:8" x14ac:dyDescent="0.25">
      <c r="A148">
        <v>1187549053</v>
      </c>
      <c r="B148" t="s">
        <v>8</v>
      </c>
      <c r="C148">
        <v>-9.6813725490191196E-4</v>
      </c>
      <c r="D148">
        <v>-0.12575848862400599</v>
      </c>
      <c r="E148">
        <v>0.90345882681551803</v>
      </c>
      <c r="F148">
        <v>8</v>
      </c>
      <c r="G148" t="str">
        <f>VLOOKUP(A148,[1]inrix_key!$A:$C,3,FALSE)</f>
        <v>HobbleCreek_S</v>
      </c>
      <c r="H148">
        <f t="shared" si="2"/>
        <v>-5.8088235294114721E-2</v>
      </c>
    </row>
    <row r="149" spans="1:8" x14ac:dyDescent="0.25">
      <c r="A149">
        <v>1187577122</v>
      </c>
      <c r="B149" t="s">
        <v>8</v>
      </c>
      <c r="C149">
        <v>0.14328022875816901</v>
      </c>
      <c r="D149">
        <v>2.3726230099236401</v>
      </c>
      <c r="E149">
        <v>4.9415228842696501E-2</v>
      </c>
      <c r="F149">
        <v>8</v>
      </c>
      <c r="G149" t="str">
        <f>VLOOKUP(A149,[1]inrix_key!$A:$C,3,FALSE)</f>
        <v>Chinden_E</v>
      </c>
      <c r="H149">
        <f t="shared" si="2"/>
        <v>8.59681372549014</v>
      </c>
    </row>
    <row r="150" spans="1:8" x14ac:dyDescent="0.25">
      <c r="A150">
        <v>1187579027</v>
      </c>
      <c r="B150" t="s">
        <v>8</v>
      </c>
      <c r="C150">
        <v>1.34436274509803E-2</v>
      </c>
      <c r="D150">
        <v>0.80180674330477097</v>
      </c>
      <c r="E150">
        <v>0.44902305736247999</v>
      </c>
      <c r="F150">
        <v>8</v>
      </c>
      <c r="G150" t="str">
        <f>VLOOKUP(A150,[1]inrix_key!$A:$C,3,FALSE)</f>
        <v>Fairview_E</v>
      </c>
      <c r="H150">
        <f t="shared" si="2"/>
        <v>0.806617647058818</v>
      </c>
    </row>
    <row r="151" spans="1:8" x14ac:dyDescent="0.25">
      <c r="A151">
        <v>1187586311</v>
      </c>
      <c r="B151" t="s">
        <v>8</v>
      </c>
      <c r="C151">
        <v>6.3080065359477105E-2</v>
      </c>
      <c r="D151">
        <v>7.2188253209568796</v>
      </c>
      <c r="E151">
        <v>1.7457921011525301E-4</v>
      </c>
      <c r="F151">
        <v>8</v>
      </c>
      <c r="G151" t="str">
        <f>VLOOKUP(A151,[1]inrix_key!$A:$C,3,FALSE)</f>
        <v>EB_W</v>
      </c>
      <c r="H151">
        <f t="shared" si="2"/>
        <v>3.7848039215686264</v>
      </c>
    </row>
    <row r="152" spans="1:8" x14ac:dyDescent="0.25">
      <c r="A152">
        <v>1187612015</v>
      </c>
      <c r="B152" t="s">
        <v>8</v>
      </c>
      <c r="C152">
        <v>2.234477124183E-2</v>
      </c>
      <c r="D152">
        <v>0.484843030210107</v>
      </c>
      <c r="E152">
        <v>0.64259149247998004</v>
      </c>
      <c r="F152">
        <v>8</v>
      </c>
      <c r="G152" t="str">
        <f>VLOOKUP(A152,[1]inrix_key!$A:$C,3,FALSE)</f>
        <v>Chinden_W</v>
      </c>
      <c r="H152">
        <f t="shared" si="2"/>
        <v>1.3406862745098</v>
      </c>
    </row>
    <row r="153" spans="1:8" x14ac:dyDescent="0.25">
      <c r="A153">
        <v>1187635580</v>
      </c>
      <c r="B153" t="s">
        <v>8</v>
      </c>
      <c r="C153">
        <v>3.4097222222222202E-2</v>
      </c>
      <c r="D153">
        <v>1.3174564029234199</v>
      </c>
      <c r="E153">
        <v>0.22916757798937701</v>
      </c>
      <c r="F153">
        <v>8</v>
      </c>
      <c r="G153" t="str">
        <f>VLOOKUP(A153,[1]inrix_key!$A:$C,3,FALSE)</f>
        <v>WB_S</v>
      </c>
      <c r="H153">
        <f t="shared" si="2"/>
        <v>2.0458333333333321</v>
      </c>
    </row>
    <row r="154" spans="1:8" x14ac:dyDescent="0.25">
      <c r="A154">
        <v>1187636735</v>
      </c>
      <c r="B154" t="s">
        <v>8</v>
      </c>
      <c r="C154">
        <v>-2.8026960784313701E-2</v>
      </c>
      <c r="D154">
        <v>-1.56102020358944</v>
      </c>
      <c r="E154">
        <v>0.16248734200328399</v>
      </c>
      <c r="F154">
        <v>8</v>
      </c>
      <c r="G154" t="str">
        <f>VLOOKUP(A154,[1]inrix_key!$A:$C,3,FALSE)</f>
        <v>WB_E</v>
      </c>
      <c r="H154">
        <f t="shared" si="2"/>
        <v>-1.681617647058822</v>
      </c>
    </row>
    <row r="155" spans="1:8" x14ac:dyDescent="0.25">
      <c r="A155">
        <v>1187654588</v>
      </c>
      <c r="B155" t="s">
        <v>8</v>
      </c>
      <c r="C155">
        <v>5.5077614379084899E-2</v>
      </c>
      <c r="D155">
        <v>2.4112752369401802</v>
      </c>
      <c r="E155">
        <v>4.6686472407183502E-2</v>
      </c>
      <c r="F155">
        <v>8</v>
      </c>
      <c r="G155" t="str">
        <f>VLOOKUP(A155,[1]inrix_key!$A:$C,3,FALSE)</f>
        <v>Franklin_N</v>
      </c>
      <c r="H155">
        <f t="shared" si="2"/>
        <v>3.3046568627450941</v>
      </c>
    </row>
    <row r="156" spans="1:8" x14ac:dyDescent="0.25">
      <c r="A156">
        <v>1187654609</v>
      </c>
      <c r="B156" t="s">
        <v>8</v>
      </c>
      <c r="C156">
        <v>-2.5894607843137199E-2</v>
      </c>
      <c r="D156">
        <v>-2.1003880773397401</v>
      </c>
      <c r="E156">
        <v>7.3828878238281395E-2</v>
      </c>
      <c r="F156">
        <v>8</v>
      </c>
      <c r="G156" t="str">
        <f>VLOOKUP(A156,[1]inrix_key!$A:$C,3,FALSE)</f>
        <v>Pine_N</v>
      </c>
      <c r="H156">
        <f t="shared" si="2"/>
        <v>-1.553676470588232</v>
      </c>
    </row>
    <row r="157" spans="1:8" x14ac:dyDescent="0.25">
      <c r="A157">
        <v>117503882</v>
      </c>
      <c r="B157" t="s">
        <v>9</v>
      </c>
      <c r="C157">
        <v>-3.2405897615456199E-3</v>
      </c>
      <c r="D157">
        <v>-0.35968759761216601</v>
      </c>
      <c r="E157">
        <v>0.723047646615958</v>
      </c>
      <c r="F157">
        <v>20</v>
      </c>
      <c r="G157" t="str">
        <f>VLOOKUP(A157,[1]inrix_key!$A:$C,3,FALSE)</f>
        <v>Franklin_E</v>
      </c>
      <c r="H157">
        <f t="shared" si="2"/>
        <v>-0.19443538569273719</v>
      </c>
    </row>
    <row r="158" spans="1:8" x14ac:dyDescent="0.25">
      <c r="A158">
        <v>117772024</v>
      </c>
      <c r="B158" t="s">
        <v>9</v>
      </c>
      <c r="C158">
        <v>2.30241026946909E-2</v>
      </c>
      <c r="D158">
        <v>2.9856524182298601</v>
      </c>
      <c r="E158">
        <v>9.8269859192519297E-3</v>
      </c>
      <c r="F158">
        <v>15</v>
      </c>
      <c r="G158" t="str">
        <f>VLOOKUP(A158,[1]inrix_key!$A:$C,3,FALSE)</f>
        <v>IslandWood_W</v>
      </c>
      <c r="H158">
        <f t="shared" si="2"/>
        <v>1.381446161681454</v>
      </c>
    </row>
    <row r="159" spans="1:8" x14ac:dyDescent="0.25">
      <c r="A159">
        <v>119241469</v>
      </c>
      <c r="B159" t="s">
        <v>9</v>
      </c>
      <c r="C159">
        <v>7.6576042421630797E-3</v>
      </c>
      <c r="D159">
        <v>0.704636169273819</v>
      </c>
      <c r="E159">
        <v>0.49568512906345003</v>
      </c>
      <c r="F159">
        <v>12</v>
      </c>
      <c r="G159" t="str">
        <f>VLOOKUP(A159,[1]inrix_key!$A:$C,3,FALSE)</f>
        <v>Colchester_W</v>
      </c>
      <c r="H159">
        <f t="shared" si="2"/>
        <v>0.45945625452978478</v>
      </c>
    </row>
    <row r="160" spans="1:8" x14ac:dyDescent="0.25">
      <c r="A160">
        <v>119269713</v>
      </c>
      <c r="B160" t="s">
        <v>9</v>
      </c>
      <c r="C160">
        <v>-1.0954148860398799E-2</v>
      </c>
      <c r="D160">
        <v>-0.57806743386712101</v>
      </c>
      <c r="E160">
        <v>0.57486169027823997</v>
      </c>
      <c r="F160">
        <v>12</v>
      </c>
      <c r="G160" t="str">
        <f>VLOOKUP(A160,[1]inrix_key!$A:$C,3,FALSE)</f>
        <v>Colchester_E</v>
      </c>
      <c r="H160">
        <f t="shared" si="2"/>
        <v>-0.65724893162392795</v>
      </c>
    </row>
    <row r="161" spans="1:8" x14ac:dyDescent="0.25">
      <c r="A161">
        <v>119501618</v>
      </c>
      <c r="B161" t="s">
        <v>9</v>
      </c>
      <c r="C161">
        <v>1.6573909627953701E-2</v>
      </c>
      <c r="D161">
        <v>3.0417026610799298</v>
      </c>
      <c r="E161">
        <v>6.71151021771742E-3</v>
      </c>
      <c r="F161">
        <v>20</v>
      </c>
      <c r="G161" t="str">
        <f>VLOOKUP(A161,[1]inrix_key!$A:$C,3,FALSE)</f>
        <v>McMillan_N</v>
      </c>
      <c r="H161">
        <f t="shared" si="2"/>
        <v>0.9944345776772221</v>
      </c>
    </row>
    <row r="162" spans="1:8" x14ac:dyDescent="0.25">
      <c r="A162">
        <v>384121516</v>
      </c>
      <c r="B162" t="s">
        <v>9</v>
      </c>
      <c r="C162">
        <v>-3.6474381419234099E-3</v>
      </c>
      <c r="D162">
        <v>-0.42128790682876799</v>
      </c>
      <c r="E162">
        <v>0.67827242750616701</v>
      </c>
      <c r="F162">
        <v>20</v>
      </c>
      <c r="G162" t="str">
        <f>VLOOKUP(A162,[1]inrix_key!$A:$C,3,FALSE)</f>
        <v>McMillan_W</v>
      </c>
      <c r="H162">
        <f t="shared" si="2"/>
        <v>-0.21884628851540461</v>
      </c>
    </row>
    <row r="163" spans="1:8" x14ac:dyDescent="0.25">
      <c r="A163">
        <v>384139881</v>
      </c>
      <c r="B163" t="s">
        <v>9</v>
      </c>
      <c r="C163">
        <v>2.5494524878716E-2</v>
      </c>
      <c r="D163">
        <v>2.29556732533191</v>
      </c>
      <c r="E163">
        <v>3.3253175191289702E-2</v>
      </c>
      <c r="F163">
        <v>20</v>
      </c>
      <c r="G163" t="str">
        <f>VLOOKUP(A163,[1]inrix_key!$A:$C,3,FALSE)</f>
        <v>Pine_W</v>
      </c>
      <c r="H163">
        <f t="shared" si="2"/>
        <v>1.52967149272296</v>
      </c>
    </row>
    <row r="164" spans="1:8" x14ac:dyDescent="0.25">
      <c r="A164">
        <v>428958433</v>
      </c>
      <c r="B164" t="s">
        <v>9</v>
      </c>
      <c r="C164">
        <v>-7.5314383329089295E-4</v>
      </c>
      <c r="D164">
        <v>-0.98857800818821695</v>
      </c>
      <c r="E164">
        <v>0.33529282107179198</v>
      </c>
      <c r="F164">
        <v>20</v>
      </c>
      <c r="G164" t="str">
        <f>VLOOKUP(A164,[1]inrix_key!$A:$C,3,FALSE)</f>
        <v>EB_S</v>
      </c>
      <c r="H164">
        <f t="shared" si="2"/>
        <v>-4.5188629997453579E-2</v>
      </c>
    </row>
    <row r="165" spans="1:8" x14ac:dyDescent="0.25">
      <c r="A165">
        <v>428958434</v>
      </c>
      <c r="B165" t="s">
        <v>9</v>
      </c>
      <c r="C165">
        <v>6.0489481923305599E-4</v>
      </c>
      <c r="D165">
        <v>0.13980835199859801</v>
      </c>
      <c r="E165">
        <v>0.890282822241246</v>
      </c>
      <c r="F165">
        <v>20</v>
      </c>
      <c r="G165">
        <f>VLOOKUP(A165,[1]inrix_key!$A:$C,3,FALSE)</f>
        <v>0</v>
      </c>
      <c r="H165">
        <f t="shared" si="2"/>
        <v>3.6293689153983358E-2</v>
      </c>
    </row>
    <row r="166" spans="1:8" x14ac:dyDescent="0.25">
      <c r="A166">
        <v>428958435</v>
      </c>
      <c r="B166" t="s">
        <v>9</v>
      </c>
      <c r="C166">
        <v>1.39615960020371E-3</v>
      </c>
      <c r="D166">
        <v>0.67743913838909597</v>
      </c>
      <c r="E166">
        <v>0.50629327941396995</v>
      </c>
      <c r="F166">
        <v>20</v>
      </c>
      <c r="G166">
        <f>VLOOKUP(A166,[1]inrix_key!$A:$C,3,FALSE)</f>
        <v>0</v>
      </c>
      <c r="H166">
        <f t="shared" si="2"/>
        <v>8.3769576012222596E-2</v>
      </c>
    </row>
    <row r="167" spans="1:8" x14ac:dyDescent="0.25">
      <c r="A167">
        <v>448694747</v>
      </c>
      <c r="B167" t="s">
        <v>9</v>
      </c>
      <c r="C167">
        <v>-3.0250408496732199E-3</v>
      </c>
      <c r="D167">
        <v>-0.56203693643360098</v>
      </c>
      <c r="E167">
        <v>0.58066147809685098</v>
      </c>
      <c r="F167">
        <v>20</v>
      </c>
      <c r="G167" t="str">
        <f>VLOOKUP(A167,[1]inrix_key!$A:$C,3,FALSE)</f>
        <v>Fairview_W</v>
      </c>
      <c r="H167">
        <f t="shared" si="2"/>
        <v>-0.18150245098039319</v>
      </c>
    </row>
    <row r="168" spans="1:8" x14ac:dyDescent="0.25">
      <c r="A168">
        <v>448694757</v>
      </c>
      <c r="B168" t="s">
        <v>9</v>
      </c>
      <c r="C168">
        <v>-1.0820556363571E-2</v>
      </c>
      <c r="D168">
        <v>-1.2143435741455999</v>
      </c>
      <c r="E168">
        <v>0.239494461215295</v>
      </c>
      <c r="F168">
        <v>20</v>
      </c>
      <c r="G168" t="str">
        <f>VLOOKUP(A168,[1]inrix_key!$A:$C,3,FALSE)</f>
        <v>Ustick_W</v>
      </c>
      <c r="H168">
        <f t="shared" si="2"/>
        <v>-0.64923338181426005</v>
      </c>
    </row>
    <row r="169" spans="1:8" x14ac:dyDescent="0.25">
      <c r="A169">
        <v>448695751</v>
      </c>
      <c r="B169" t="s">
        <v>9</v>
      </c>
      <c r="C169">
        <v>4.4073718356806499E-3</v>
      </c>
      <c r="D169">
        <v>0.82655052613272695</v>
      </c>
      <c r="E169">
        <v>0.41875125808716501</v>
      </c>
      <c r="F169">
        <v>20</v>
      </c>
      <c r="G169" t="str">
        <f>VLOOKUP(A169,[1]inrix_key!$A:$C,3,FALSE)</f>
        <v>Riverside_N</v>
      </c>
      <c r="H169">
        <f t="shared" si="2"/>
        <v>0.26444231014083897</v>
      </c>
    </row>
    <row r="170" spans="1:8" x14ac:dyDescent="0.25">
      <c r="A170">
        <v>448695752</v>
      </c>
      <c r="B170" t="s">
        <v>9</v>
      </c>
      <c r="C170">
        <v>7.9193615208321202E-3</v>
      </c>
      <c r="D170">
        <v>2.7114079723989901</v>
      </c>
      <c r="E170">
        <v>1.3844150192144199E-2</v>
      </c>
      <c r="F170">
        <v>20</v>
      </c>
      <c r="G170" t="str">
        <f>VLOOKUP(A170,[1]inrix_key!$A:$C,3,FALSE)</f>
        <v>IslandWood_N</v>
      </c>
      <c r="H170">
        <f t="shared" si="2"/>
        <v>0.47516169124992724</v>
      </c>
    </row>
    <row r="171" spans="1:8" x14ac:dyDescent="0.25">
      <c r="A171">
        <v>448695753</v>
      </c>
      <c r="B171" t="s">
        <v>9</v>
      </c>
      <c r="C171">
        <v>2.2432788045288001E-2</v>
      </c>
      <c r="D171">
        <v>3.6456090896812001</v>
      </c>
      <c r="E171">
        <v>1.72025087601049E-3</v>
      </c>
      <c r="F171">
        <v>20</v>
      </c>
      <c r="G171" t="str">
        <f>VLOOKUP(A171,[1]inrix_key!$A:$C,3,FALSE)</f>
        <v>Riverside_S</v>
      </c>
      <c r="H171">
        <f t="shared" si="2"/>
        <v>1.3459672827172802</v>
      </c>
    </row>
    <row r="172" spans="1:8" x14ac:dyDescent="0.25">
      <c r="A172">
        <v>448695754</v>
      </c>
      <c r="B172" t="s">
        <v>9</v>
      </c>
      <c r="C172">
        <v>1.7193035640829701E-2</v>
      </c>
      <c r="D172">
        <v>2.6386274015896798</v>
      </c>
      <c r="E172">
        <v>1.61909754640235E-2</v>
      </c>
      <c r="F172">
        <v>20</v>
      </c>
      <c r="G172" t="str">
        <f>VLOOKUP(A172,[1]inrix_key!$A:$C,3,FALSE)</f>
        <v>State_S</v>
      </c>
      <c r="H172">
        <f t="shared" si="2"/>
        <v>1.0315821384497821</v>
      </c>
    </row>
    <row r="173" spans="1:8" x14ac:dyDescent="0.25">
      <c r="A173">
        <v>448697006</v>
      </c>
      <c r="B173" t="s">
        <v>9</v>
      </c>
      <c r="C173">
        <v>1.7003676470588201E-3</v>
      </c>
      <c r="D173">
        <v>0.24655400619979001</v>
      </c>
      <c r="E173">
        <v>0.80789758293931702</v>
      </c>
      <c r="F173">
        <v>20</v>
      </c>
      <c r="G173" t="str">
        <f>VLOOKUP(A173,[1]inrix_key!$A:$C,3,FALSE)</f>
        <v>StLukes_N</v>
      </c>
      <c r="H173">
        <f t="shared" si="2"/>
        <v>0.1020220588235292</v>
      </c>
    </row>
    <row r="174" spans="1:8" x14ac:dyDescent="0.25">
      <c r="A174">
        <v>448697007</v>
      </c>
      <c r="B174" t="s">
        <v>9</v>
      </c>
      <c r="C174">
        <v>5.8981617647058801E-3</v>
      </c>
      <c r="D174">
        <v>1.8741014692683999</v>
      </c>
      <c r="E174">
        <v>7.6378476732079606E-2</v>
      </c>
      <c r="F174">
        <v>20</v>
      </c>
      <c r="G174" t="str">
        <f>VLOOKUP(A174,[1]inrix_key!$A:$C,3,FALSE)</f>
        <v>WB_N</v>
      </c>
      <c r="H174">
        <f t="shared" si="2"/>
        <v>0.3538897058823528</v>
      </c>
    </row>
    <row r="175" spans="1:8" x14ac:dyDescent="0.25">
      <c r="A175">
        <v>448697008</v>
      </c>
      <c r="B175" t="s">
        <v>9</v>
      </c>
      <c r="C175">
        <v>-1.5396745941966499E-2</v>
      </c>
      <c r="D175">
        <v>-3.3601468665885199</v>
      </c>
      <c r="E175">
        <v>3.2876535209518899E-3</v>
      </c>
      <c r="F175">
        <v>20</v>
      </c>
      <c r="G175" t="str">
        <f>VLOOKUP(A175,[1]inrix_key!$A:$C,3,FALSE)</f>
        <v>RiverValley_S</v>
      </c>
      <c r="H175">
        <f t="shared" si="2"/>
        <v>-0.92380475651798999</v>
      </c>
    </row>
    <row r="176" spans="1:8" x14ac:dyDescent="0.25">
      <c r="A176">
        <v>448697009</v>
      </c>
      <c r="B176" t="s">
        <v>9</v>
      </c>
      <c r="C176">
        <v>-1.3905565880198201E-2</v>
      </c>
      <c r="D176">
        <v>-2.1603862547034902</v>
      </c>
      <c r="E176">
        <v>4.3726613701299301E-2</v>
      </c>
      <c r="F176">
        <v>20</v>
      </c>
      <c r="G176" t="str">
        <f>VLOOKUP(A176,[1]inrix_key!$A:$C,3,FALSE)</f>
        <v>Ustick_S</v>
      </c>
      <c r="H176">
        <f t="shared" si="2"/>
        <v>-0.83433395281189204</v>
      </c>
    </row>
    <row r="177" spans="1:8" x14ac:dyDescent="0.25">
      <c r="A177">
        <v>448697010</v>
      </c>
      <c r="B177" t="s">
        <v>9</v>
      </c>
      <c r="C177">
        <v>-4.72952802916038E-3</v>
      </c>
      <c r="D177">
        <v>-1.27717420405946</v>
      </c>
      <c r="E177">
        <v>0.216928248938457</v>
      </c>
      <c r="F177">
        <v>20</v>
      </c>
      <c r="G177" t="str">
        <f>VLOOKUP(A177,[1]inrix_key!$A:$C,3,FALSE)</f>
        <v>RiverValley_N</v>
      </c>
      <c r="H177">
        <f t="shared" si="2"/>
        <v>-0.28377168174962281</v>
      </c>
    </row>
    <row r="178" spans="1:8" x14ac:dyDescent="0.25">
      <c r="A178">
        <v>448697011</v>
      </c>
      <c r="B178" t="s">
        <v>9</v>
      </c>
      <c r="C178">
        <v>1.20204248366011E-3</v>
      </c>
      <c r="D178">
        <v>0.168704257925404</v>
      </c>
      <c r="E178">
        <v>0.86781227797920801</v>
      </c>
      <c r="F178">
        <v>20</v>
      </c>
      <c r="G178" t="str">
        <f>VLOOKUP(A178,[1]inrix_key!$A:$C,3,FALSE)</f>
        <v>Fairview_N</v>
      </c>
      <c r="H178">
        <f t="shared" si="2"/>
        <v>7.2122549019606602E-2</v>
      </c>
    </row>
    <row r="179" spans="1:8" x14ac:dyDescent="0.25">
      <c r="A179">
        <v>448725595</v>
      </c>
      <c r="B179" t="s">
        <v>9</v>
      </c>
      <c r="C179">
        <v>-6.2390231092436903E-3</v>
      </c>
      <c r="D179">
        <v>-1.7465298258734301</v>
      </c>
      <c r="E179">
        <v>9.6866248672676999E-2</v>
      </c>
      <c r="F179">
        <v>20</v>
      </c>
      <c r="G179" t="str">
        <f>VLOOKUP(A179,[1]inrix_key!$A:$C,3,FALSE)</f>
        <v>StLukes_S</v>
      </c>
      <c r="H179">
        <f t="shared" si="2"/>
        <v>-0.3743413865546214</v>
      </c>
    </row>
    <row r="180" spans="1:8" x14ac:dyDescent="0.25">
      <c r="A180">
        <v>448725596</v>
      </c>
      <c r="B180" t="s">
        <v>9</v>
      </c>
      <c r="C180">
        <v>-7.1186099439775902E-3</v>
      </c>
      <c r="D180">
        <v>-1.7685181944291399</v>
      </c>
      <c r="E180">
        <v>9.3027102004855505E-2</v>
      </c>
      <c r="F180">
        <v>20</v>
      </c>
      <c r="G180" t="str">
        <f>VLOOKUP(A180,[1]inrix_key!$A:$C,3,FALSE)</f>
        <v>Franklin_S</v>
      </c>
      <c r="H180">
        <f t="shared" si="2"/>
        <v>-0.42711659663865542</v>
      </c>
    </row>
    <row r="181" spans="1:8" x14ac:dyDescent="0.25">
      <c r="A181">
        <v>448725597</v>
      </c>
      <c r="B181" t="s">
        <v>9</v>
      </c>
      <c r="C181">
        <v>-1.0430192683133801E-2</v>
      </c>
      <c r="D181">
        <v>-1.1161616256440601</v>
      </c>
      <c r="E181">
        <v>0.27827060364334899</v>
      </c>
      <c r="F181">
        <v>20</v>
      </c>
      <c r="G181" t="str">
        <f>VLOOKUP(A181,[1]inrix_key!$A:$C,3,FALSE)</f>
        <v>Ustick_E</v>
      </c>
      <c r="H181">
        <f t="shared" si="2"/>
        <v>-0.62581156098802804</v>
      </c>
    </row>
    <row r="182" spans="1:8" x14ac:dyDescent="0.25">
      <c r="A182">
        <v>448725599</v>
      </c>
      <c r="B182" t="s">
        <v>9</v>
      </c>
      <c r="C182">
        <v>1.6820278047116201E-2</v>
      </c>
      <c r="D182">
        <v>1.8002456477715201</v>
      </c>
      <c r="E182">
        <v>8.7720302378254206E-2</v>
      </c>
      <c r="F182">
        <v>20</v>
      </c>
      <c r="G182" t="str">
        <f>VLOOKUP(A182,[1]inrix_key!$A:$C,3,FALSE)</f>
        <v>Chinden_S</v>
      </c>
      <c r="H182">
        <f t="shared" si="2"/>
        <v>1.009216682826972</v>
      </c>
    </row>
    <row r="183" spans="1:8" x14ac:dyDescent="0.25">
      <c r="A183">
        <v>474871675</v>
      </c>
      <c r="B183" t="s">
        <v>9</v>
      </c>
      <c r="C183">
        <v>6.9688135938135902E-3</v>
      </c>
      <c r="D183">
        <v>0.28873303549329399</v>
      </c>
      <c r="E183">
        <v>0.77627681614844002</v>
      </c>
      <c r="F183">
        <v>18</v>
      </c>
      <c r="G183" t="str">
        <f>VLOOKUP(A183,[1]inrix_key!$A:$C,3,FALSE)</f>
        <v>McMillan_E</v>
      </c>
      <c r="H183">
        <f t="shared" si="2"/>
        <v>0.41812881562881543</v>
      </c>
    </row>
    <row r="184" spans="1:8" x14ac:dyDescent="0.25">
      <c r="A184">
        <v>484347992</v>
      </c>
      <c r="B184" t="s">
        <v>9</v>
      </c>
      <c r="C184">
        <v>1.0702296069943101E-3</v>
      </c>
      <c r="D184">
        <v>2.0073682388835801</v>
      </c>
      <c r="E184">
        <v>5.91488030929447E-2</v>
      </c>
      <c r="F184">
        <v>20</v>
      </c>
      <c r="G184">
        <f>VLOOKUP(A184,[1]inrix_key!$A:$C,3,FALSE)</f>
        <v>0</v>
      </c>
      <c r="H184">
        <f t="shared" si="2"/>
        <v>6.42137764196586E-2</v>
      </c>
    </row>
    <row r="185" spans="1:8" x14ac:dyDescent="0.25">
      <c r="A185">
        <v>484366819</v>
      </c>
      <c r="B185" t="s">
        <v>9</v>
      </c>
      <c r="C185">
        <v>-5.7612968322527103E-3</v>
      </c>
      <c r="D185">
        <v>-1.14354376015174</v>
      </c>
      <c r="E185">
        <v>0.26701697814903302</v>
      </c>
      <c r="F185">
        <v>20</v>
      </c>
      <c r="G185" t="str">
        <f>VLOOKUP(A185,[1]inrix_key!$A:$C,3,FALSE)</f>
        <v>Pine_E</v>
      </c>
      <c r="H185">
        <f t="shared" si="2"/>
        <v>-0.34567780993516262</v>
      </c>
    </row>
    <row r="186" spans="1:8" x14ac:dyDescent="0.25">
      <c r="A186">
        <v>484371307</v>
      </c>
      <c r="B186" t="s">
        <v>9</v>
      </c>
      <c r="C186">
        <v>4.2084356411562296E-3</v>
      </c>
      <c r="D186">
        <v>2.6725990913970699</v>
      </c>
      <c r="E186">
        <v>1.50520292080866E-2</v>
      </c>
      <c r="F186">
        <v>20</v>
      </c>
      <c r="G186" t="str">
        <f>VLOOKUP(A186,[1]inrix_key!$A:$C,3,FALSE)</f>
        <v>Pine_E</v>
      </c>
      <c r="H186">
        <f t="shared" si="2"/>
        <v>0.25250613846937375</v>
      </c>
    </row>
    <row r="187" spans="1:8" x14ac:dyDescent="0.25">
      <c r="A187">
        <v>1187327938</v>
      </c>
      <c r="B187" t="s">
        <v>9</v>
      </c>
      <c r="C187">
        <v>-4.2821154295051303E-2</v>
      </c>
      <c r="D187">
        <v>-2.77570955580136</v>
      </c>
      <c r="E187">
        <v>1.2043698485142E-2</v>
      </c>
      <c r="F187">
        <v>20</v>
      </c>
      <c r="G187" t="str">
        <f>VLOOKUP(A187,[1]inrix_key!$A:$C,3,FALSE)</f>
        <v>Franklin_W</v>
      </c>
      <c r="H187">
        <f t="shared" si="2"/>
        <v>-2.5692692577030782</v>
      </c>
    </row>
    <row r="188" spans="1:8" x14ac:dyDescent="0.25">
      <c r="A188">
        <v>1187333605</v>
      </c>
      <c r="B188" t="s">
        <v>9</v>
      </c>
      <c r="C188">
        <v>-1.07915771728271E-2</v>
      </c>
      <c r="D188">
        <v>-1.22082744609236</v>
      </c>
      <c r="E188">
        <v>0.23708585133083299</v>
      </c>
      <c r="F188">
        <v>20</v>
      </c>
      <c r="G188" t="str">
        <f>VLOOKUP(A188,[1]inrix_key!$A:$C,3,FALSE)</f>
        <v>Colchester_N</v>
      </c>
      <c r="H188">
        <f t="shared" si="2"/>
        <v>-0.64749463036962596</v>
      </c>
    </row>
    <row r="189" spans="1:8" x14ac:dyDescent="0.25">
      <c r="A189">
        <v>1187333665</v>
      </c>
      <c r="B189" t="s">
        <v>9</v>
      </c>
      <c r="C189">
        <v>-2.3264729755538501E-2</v>
      </c>
      <c r="D189">
        <v>-1.0557411307989899</v>
      </c>
      <c r="E189">
        <v>0.30432664107219398</v>
      </c>
      <c r="F189">
        <v>20</v>
      </c>
      <c r="G189" t="str">
        <f>VLOOKUP(A189,[1]inrix_key!$A:$C,3,FALSE)</f>
        <v>Chinden_N</v>
      </c>
      <c r="H189">
        <f t="shared" si="2"/>
        <v>-1.3958837853323101</v>
      </c>
    </row>
    <row r="190" spans="1:8" x14ac:dyDescent="0.25">
      <c r="A190">
        <v>1187334983</v>
      </c>
      <c r="B190" t="s">
        <v>9</v>
      </c>
      <c r="C190">
        <v>-1.48997549019607E-2</v>
      </c>
      <c r="D190">
        <v>-1.8185617161883501</v>
      </c>
      <c r="E190">
        <v>8.4778334348587905E-2</v>
      </c>
      <c r="F190">
        <v>20</v>
      </c>
      <c r="G190" t="str">
        <f>VLOOKUP(A190,[1]inrix_key!$A:$C,3,FALSE)</f>
        <v>Wainwright_N</v>
      </c>
      <c r="H190">
        <f t="shared" si="2"/>
        <v>-0.89398529411764205</v>
      </c>
    </row>
    <row r="191" spans="1:8" x14ac:dyDescent="0.25">
      <c r="A191">
        <v>1187335042</v>
      </c>
      <c r="B191" t="s">
        <v>9</v>
      </c>
      <c r="C191">
        <v>-4.60739262371615E-2</v>
      </c>
      <c r="D191">
        <v>-2.0963324275489499</v>
      </c>
      <c r="E191">
        <v>4.9673781598834198E-2</v>
      </c>
      <c r="F191">
        <v>20</v>
      </c>
      <c r="G191" t="str">
        <f>VLOOKUP(A191,[1]inrix_key!$A:$C,3,FALSE)</f>
        <v>Ustick_N</v>
      </c>
      <c r="H191">
        <f t="shared" si="2"/>
        <v>-2.7644355742296902</v>
      </c>
    </row>
    <row r="192" spans="1:8" x14ac:dyDescent="0.25">
      <c r="A192">
        <v>1187377510</v>
      </c>
      <c r="B192" t="s">
        <v>9</v>
      </c>
      <c r="C192">
        <v>-2.98159430438841E-3</v>
      </c>
      <c r="D192">
        <v>-1.14085192897544</v>
      </c>
      <c r="E192">
        <v>0.26810807771772299</v>
      </c>
      <c r="F192">
        <v>20</v>
      </c>
      <c r="G192" t="str">
        <f>VLOOKUP(A192,[1]inrix_key!$A:$C,3,FALSE)</f>
        <v>EB_S</v>
      </c>
      <c r="H192">
        <f t="shared" si="2"/>
        <v>-0.17889565826330461</v>
      </c>
    </row>
    <row r="193" spans="1:8" x14ac:dyDescent="0.25">
      <c r="A193">
        <v>1187466896</v>
      </c>
      <c r="B193" t="s">
        <v>9</v>
      </c>
      <c r="C193">
        <v>1.4766762363453499E-2</v>
      </c>
      <c r="D193">
        <v>1.64863822809256</v>
      </c>
      <c r="E193">
        <v>0.115658615098416</v>
      </c>
      <c r="F193">
        <v>20</v>
      </c>
      <c r="G193" t="str">
        <f>VLOOKUP(A193,[1]inrix_key!$A:$C,3,FALSE)</f>
        <v>IslandWood_S</v>
      </c>
      <c r="H193">
        <f t="shared" si="2"/>
        <v>0.88600574180720992</v>
      </c>
    </row>
    <row r="194" spans="1:8" x14ac:dyDescent="0.25">
      <c r="A194">
        <v>1187466917</v>
      </c>
      <c r="B194" t="s">
        <v>9</v>
      </c>
      <c r="C194">
        <v>7.7507432518462201E-3</v>
      </c>
      <c r="D194">
        <v>1.4705178689915499</v>
      </c>
      <c r="E194">
        <v>0.15778879738968801</v>
      </c>
      <c r="F194">
        <v>20</v>
      </c>
      <c r="G194" t="str">
        <f>VLOOKUP(A194,[1]inrix_key!$A:$C,3,FALSE)</f>
        <v>Colchester_S</v>
      </c>
      <c r="H194">
        <f t="shared" ref="H194:H208" si="3">60*C194</f>
        <v>0.46504459511077323</v>
      </c>
    </row>
    <row r="195" spans="1:8" x14ac:dyDescent="0.25">
      <c r="A195">
        <v>1187517040</v>
      </c>
      <c r="B195" t="s">
        <v>9</v>
      </c>
      <c r="C195">
        <v>-2.09234068627451E-2</v>
      </c>
      <c r="D195">
        <v>-1.6869297237729699</v>
      </c>
      <c r="E195">
        <v>0.10796674066543301</v>
      </c>
      <c r="F195">
        <v>20</v>
      </c>
      <c r="G195" t="str">
        <f>VLOOKUP(A195,[1]inrix_key!$A:$C,3,FALSE)</f>
        <v>Wainwright_S</v>
      </c>
      <c r="H195">
        <f t="shared" si="3"/>
        <v>-1.2554044117647061</v>
      </c>
    </row>
    <row r="196" spans="1:8" x14ac:dyDescent="0.25">
      <c r="A196">
        <v>1187532837</v>
      </c>
      <c r="B196" t="s">
        <v>9</v>
      </c>
      <c r="C196">
        <v>9.8882586367880394E-3</v>
      </c>
      <c r="D196">
        <v>3.1207050890514001</v>
      </c>
      <c r="E196">
        <v>5.6290797017795897E-3</v>
      </c>
      <c r="F196">
        <v>20</v>
      </c>
      <c r="G196" t="str">
        <f>VLOOKUP(A196,[1]inrix_key!$A:$C,3,FALSE)</f>
        <v>HobbleCreek_N</v>
      </c>
      <c r="H196">
        <f t="shared" si="3"/>
        <v>0.59329551820728232</v>
      </c>
    </row>
    <row r="197" spans="1:8" x14ac:dyDescent="0.25">
      <c r="A197">
        <v>1187548947</v>
      </c>
      <c r="B197" t="s">
        <v>9</v>
      </c>
      <c r="C197">
        <v>7.63458396178984E-4</v>
      </c>
      <c r="D197">
        <v>0.13289258688041899</v>
      </c>
      <c r="E197">
        <v>0.89567569472933894</v>
      </c>
      <c r="F197">
        <v>20</v>
      </c>
      <c r="G197" t="str">
        <f>VLOOKUP(A197,[1]inrix_key!$A:$C,3,FALSE)</f>
        <v>Fairview_S</v>
      </c>
      <c r="H197">
        <f t="shared" si="3"/>
        <v>4.5807503770739041E-2</v>
      </c>
    </row>
    <row r="198" spans="1:8" x14ac:dyDescent="0.25">
      <c r="A198">
        <v>1187548975</v>
      </c>
      <c r="B198" t="s">
        <v>9</v>
      </c>
      <c r="C198">
        <v>2.1798009588450502E-3</v>
      </c>
      <c r="D198">
        <v>0.372065511283098</v>
      </c>
      <c r="E198">
        <v>0.71396145075426698</v>
      </c>
      <c r="F198">
        <v>20</v>
      </c>
      <c r="G198" t="str">
        <f>VLOOKUP(A198,[1]inrix_key!$A:$C,3,FALSE)</f>
        <v>Pine_S</v>
      </c>
      <c r="H198">
        <f t="shared" si="3"/>
        <v>0.13078805753070302</v>
      </c>
    </row>
    <row r="199" spans="1:8" x14ac:dyDescent="0.25">
      <c r="A199">
        <v>1187548987</v>
      </c>
      <c r="B199" t="s">
        <v>9</v>
      </c>
      <c r="C199">
        <v>-1.51119420203979E-2</v>
      </c>
      <c r="D199">
        <v>-1.69370331354521</v>
      </c>
      <c r="E199">
        <v>0.106652589490765</v>
      </c>
      <c r="F199">
        <v>20</v>
      </c>
      <c r="G199" t="str">
        <f>VLOOKUP(A199,[1]inrix_key!$A:$C,3,FALSE)</f>
        <v>McMillan_S</v>
      </c>
      <c r="H199">
        <f t="shared" si="3"/>
        <v>-0.90671652122387403</v>
      </c>
    </row>
    <row r="200" spans="1:8" x14ac:dyDescent="0.25">
      <c r="A200">
        <v>1187549053</v>
      </c>
      <c r="B200" t="s">
        <v>9</v>
      </c>
      <c r="C200">
        <v>-6.3429348021259799E-3</v>
      </c>
      <c r="D200">
        <v>-0.78469168558575797</v>
      </c>
      <c r="E200">
        <v>0.442308939230598</v>
      </c>
      <c r="F200">
        <v>20</v>
      </c>
      <c r="G200" t="str">
        <f>VLOOKUP(A200,[1]inrix_key!$A:$C,3,FALSE)</f>
        <v>HobbleCreek_S</v>
      </c>
      <c r="H200">
        <f t="shared" si="3"/>
        <v>-0.38057608812755878</v>
      </c>
    </row>
    <row r="201" spans="1:8" x14ac:dyDescent="0.25">
      <c r="A201">
        <v>1187577122</v>
      </c>
      <c r="B201" t="s">
        <v>9</v>
      </c>
      <c r="C201">
        <v>2.4987109010270701E-2</v>
      </c>
      <c r="D201">
        <v>2.3192353076380301</v>
      </c>
      <c r="E201">
        <v>3.1677054816285397E-2</v>
      </c>
      <c r="F201">
        <v>20</v>
      </c>
      <c r="G201" t="str">
        <f>VLOOKUP(A201,[1]inrix_key!$A:$C,3,FALSE)</f>
        <v>Chinden_E</v>
      </c>
      <c r="H201">
        <f t="shared" si="3"/>
        <v>1.4992265406162422</v>
      </c>
    </row>
    <row r="202" spans="1:8" x14ac:dyDescent="0.25">
      <c r="A202">
        <v>1187579027</v>
      </c>
      <c r="B202" t="s">
        <v>9</v>
      </c>
      <c r="C202">
        <v>2.2907265936677398E-3</v>
      </c>
      <c r="D202">
        <v>0.28892565367415701</v>
      </c>
      <c r="E202">
        <v>0.77576705691500702</v>
      </c>
      <c r="F202">
        <v>20</v>
      </c>
      <c r="G202" t="str">
        <f>VLOOKUP(A202,[1]inrix_key!$A:$C,3,FALSE)</f>
        <v>Fairview_E</v>
      </c>
      <c r="H202">
        <f t="shared" si="3"/>
        <v>0.13744359562006439</v>
      </c>
    </row>
    <row r="203" spans="1:8" x14ac:dyDescent="0.25">
      <c r="A203">
        <v>1187586311</v>
      </c>
      <c r="B203" t="s">
        <v>9</v>
      </c>
      <c r="C203">
        <v>2.84807516829573E-3</v>
      </c>
      <c r="D203">
        <v>0.28600456164181298</v>
      </c>
      <c r="E203">
        <v>0.77796960646823099</v>
      </c>
      <c r="F203">
        <v>20</v>
      </c>
      <c r="G203" t="str">
        <f>VLOOKUP(A203,[1]inrix_key!$A:$C,3,FALSE)</f>
        <v>EB_W</v>
      </c>
      <c r="H203">
        <f t="shared" si="3"/>
        <v>0.1708845100977438</v>
      </c>
    </row>
    <row r="204" spans="1:8" x14ac:dyDescent="0.25">
      <c r="A204">
        <v>1187612015</v>
      </c>
      <c r="B204" t="s">
        <v>9</v>
      </c>
      <c r="C204">
        <v>-4.08022928868517E-2</v>
      </c>
      <c r="D204">
        <v>-1.4941414642431201</v>
      </c>
      <c r="E204">
        <v>0.15156125380372601</v>
      </c>
      <c r="F204">
        <v>20</v>
      </c>
      <c r="G204" t="str">
        <f>VLOOKUP(A204,[1]inrix_key!$A:$C,3,FALSE)</f>
        <v>Chinden_W</v>
      </c>
      <c r="H204">
        <f t="shared" si="3"/>
        <v>-2.4481375732111021</v>
      </c>
    </row>
    <row r="205" spans="1:8" x14ac:dyDescent="0.25">
      <c r="A205">
        <v>1187635580</v>
      </c>
      <c r="B205" t="s">
        <v>9</v>
      </c>
      <c r="C205">
        <v>4.1523666284695501E-3</v>
      </c>
      <c r="D205">
        <v>0.988049542256903</v>
      </c>
      <c r="E205">
        <v>0.335544896131591</v>
      </c>
      <c r="F205">
        <v>20</v>
      </c>
      <c r="G205" t="str">
        <f>VLOOKUP(A205,[1]inrix_key!$A:$C,3,FALSE)</f>
        <v>WB_S</v>
      </c>
      <c r="H205">
        <f t="shared" si="3"/>
        <v>0.249141997708173</v>
      </c>
    </row>
    <row r="206" spans="1:8" x14ac:dyDescent="0.25">
      <c r="A206">
        <v>1187636735</v>
      </c>
      <c r="B206" t="s">
        <v>9</v>
      </c>
      <c r="C206">
        <v>8.4478855295031605E-3</v>
      </c>
      <c r="D206">
        <v>2.3182105157362498</v>
      </c>
      <c r="E206">
        <v>3.1743841647311297E-2</v>
      </c>
      <c r="F206">
        <v>20</v>
      </c>
      <c r="G206" t="str">
        <f>VLOOKUP(A206,[1]inrix_key!$A:$C,3,FALSE)</f>
        <v>WB_E</v>
      </c>
      <c r="H206">
        <f t="shared" si="3"/>
        <v>0.50687313177018967</v>
      </c>
    </row>
    <row r="207" spans="1:8" x14ac:dyDescent="0.25">
      <c r="A207">
        <v>1187654588</v>
      </c>
      <c r="B207" t="s">
        <v>9</v>
      </c>
      <c r="C207">
        <v>-2.0885294117646998E-2</v>
      </c>
      <c r="D207">
        <v>-1.4938073639199501</v>
      </c>
      <c r="E207">
        <v>0.15164789818732599</v>
      </c>
      <c r="F207">
        <v>20</v>
      </c>
      <c r="G207" t="str">
        <f>VLOOKUP(A207,[1]inrix_key!$A:$C,3,FALSE)</f>
        <v>Franklin_N</v>
      </c>
      <c r="H207">
        <f t="shared" si="3"/>
        <v>-1.2531176470588199</v>
      </c>
    </row>
    <row r="208" spans="1:8" x14ac:dyDescent="0.25">
      <c r="A208">
        <v>1187654609</v>
      </c>
      <c r="B208" t="s">
        <v>9</v>
      </c>
      <c r="C208">
        <v>-1.14428104575163E-2</v>
      </c>
      <c r="D208">
        <v>-1.3275496726531799</v>
      </c>
      <c r="E208">
        <v>0.20005789864168699</v>
      </c>
      <c r="F208">
        <v>20</v>
      </c>
      <c r="G208" t="str">
        <f>VLOOKUP(A208,[1]inrix_key!$A:$C,3,FALSE)</f>
        <v>Pine_N</v>
      </c>
      <c r="H208">
        <f t="shared" si="3"/>
        <v>-0.68656862745097802</v>
      </c>
    </row>
    <row r="212" spans="3:5" x14ac:dyDescent="0.25">
      <c r="C212" s="1"/>
    </row>
    <row r="216" spans="3:5" x14ac:dyDescent="0.25">
      <c r="E216" s="1"/>
    </row>
    <row r="219" spans="3:5" x14ac:dyDescent="0.25">
      <c r="E219" s="1"/>
    </row>
    <row r="224" spans="3:5" x14ac:dyDescent="0.25">
      <c r="C224" s="1"/>
    </row>
    <row r="234" spans="5:5" x14ac:dyDescent="0.25">
      <c r="E234" s="1"/>
    </row>
    <row r="244" spans="5:5" x14ac:dyDescent="0.25">
      <c r="E244" s="1"/>
    </row>
  </sheetData>
  <autoFilter ref="A1:H1" xr:uid="{FB941D9C-7A72-492A-80A3-D4ACDB859FD0}">
    <sortState xmlns:xlrd2="http://schemas.microsoft.com/office/spreadsheetml/2017/richdata2" ref="A2:H260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9970-88AB-4242-B998-4363043B4330}">
  <dimension ref="A1:K257"/>
  <sheetViews>
    <sheetView workbookViewId="0">
      <selection activeCell="K10" sqref="K10"/>
    </sheetView>
  </sheetViews>
  <sheetFormatPr defaultRowHeight="15" x14ac:dyDescent="0.25"/>
  <cols>
    <col min="2" max="2" width="26" bestFit="1" customWidth="1"/>
    <col min="7" max="7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12</v>
      </c>
    </row>
    <row r="2" spans="1:11" x14ac:dyDescent="0.25">
      <c r="A2">
        <v>117772024</v>
      </c>
      <c r="B2" t="s">
        <v>7</v>
      </c>
      <c r="C2">
        <v>-0.22</v>
      </c>
      <c r="F2">
        <v>1</v>
      </c>
      <c r="G2" t="str">
        <f>VLOOKUP(A2,[1]inrix_key!$A:$C,3,FALSE)</f>
        <v>IslandWood_W</v>
      </c>
      <c r="H2">
        <f t="shared" ref="H2:H65" si="0">60*C2</f>
        <v>-13.2</v>
      </c>
    </row>
    <row r="3" spans="1:11" x14ac:dyDescent="0.25">
      <c r="A3">
        <v>1187327938</v>
      </c>
      <c r="B3" t="s">
        <v>7</v>
      </c>
      <c r="C3">
        <v>-0.175179587079587</v>
      </c>
      <c r="D3">
        <v>-12.366726790356701</v>
      </c>
      <c r="E3" s="1">
        <v>5.9558622254189998E-7</v>
      </c>
      <c r="F3">
        <v>10</v>
      </c>
      <c r="G3" t="str">
        <f>VLOOKUP(A3,[1]inrix_key!$A:$C,3,FALSE)</f>
        <v>Franklin_W</v>
      </c>
      <c r="H3">
        <f t="shared" si="0"/>
        <v>-10.51077522477522</v>
      </c>
      <c r="J3" t="s">
        <v>13</v>
      </c>
      <c r="K3">
        <f>AVERAGEIF(G:G,"*_N*",H:H)</f>
        <v>1.9678329648730082</v>
      </c>
    </row>
    <row r="4" spans="1:11" x14ac:dyDescent="0.25">
      <c r="A4">
        <v>384139881</v>
      </c>
      <c r="B4" t="s">
        <v>7</v>
      </c>
      <c r="C4">
        <v>-0.111847222222222</v>
      </c>
      <c r="D4">
        <v>-2.2517704167939301</v>
      </c>
      <c r="E4">
        <v>5.0855940887352499E-2</v>
      </c>
      <c r="F4">
        <v>10</v>
      </c>
      <c r="G4" t="str">
        <f>VLOOKUP(A4,[1]inrix_key!$A:$C,3,FALSE)</f>
        <v>Pine_W</v>
      </c>
      <c r="H4">
        <f t="shared" si="0"/>
        <v>-6.7108333333333201</v>
      </c>
      <c r="J4" t="s">
        <v>14</v>
      </c>
      <c r="K4">
        <f>AVERAGEIF(G:G,"*_S*",H:H)</f>
        <v>1.2453738543571455</v>
      </c>
    </row>
    <row r="5" spans="1:11" x14ac:dyDescent="0.25">
      <c r="A5">
        <v>1187517040</v>
      </c>
      <c r="B5" t="s">
        <v>8</v>
      </c>
      <c r="C5">
        <v>-0.107192095588235</v>
      </c>
      <c r="D5">
        <v>-3.0116308145134099</v>
      </c>
      <c r="E5">
        <v>1.96168732431793E-2</v>
      </c>
      <c r="F5">
        <v>8</v>
      </c>
      <c r="G5" t="str">
        <f>VLOOKUP(A5,[1]inrix_key!$A:$C,3,FALSE)</f>
        <v>Wainwright_S</v>
      </c>
      <c r="H5">
        <f t="shared" si="0"/>
        <v>-6.4315257352941</v>
      </c>
      <c r="J5" t="s">
        <v>15</v>
      </c>
      <c r="K5">
        <f>AVERAGEIF(G:G,"*_W*",H:H)</f>
        <v>-0.43434148529479838</v>
      </c>
    </row>
    <row r="6" spans="1:11" x14ac:dyDescent="0.25">
      <c r="A6">
        <v>1187586311</v>
      </c>
      <c r="B6" t="s">
        <v>7</v>
      </c>
      <c r="C6">
        <v>-0.10168088023088</v>
      </c>
      <c r="D6">
        <v>-3.14244298558968</v>
      </c>
      <c r="E6">
        <v>1.18812004041223E-2</v>
      </c>
      <c r="F6">
        <v>10</v>
      </c>
      <c r="G6" t="str">
        <f>VLOOKUP(A6,[1]inrix_key!$A:$C,3,FALSE)</f>
        <v>EB_W</v>
      </c>
      <c r="H6">
        <f t="shared" si="0"/>
        <v>-6.1008528138528</v>
      </c>
      <c r="J6" t="s">
        <v>16</v>
      </c>
      <c r="K6">
        <f>AVERAGEIF(G:G,"*_E*",H:H)</f>
        <v>0.80294079079717118</v>
      </c>
    </row>
    <row r="7" spans="1:11" x14ac:dyDescent="0.25">
      <c r="A7">
        <v>448695754</v>
      </c>
      <c r="B7" t="s">
        <v>9</v>
      </c>
      <c r="C7">
        <v>-9.2248046316428606E-2</v>
      </c>
      <c r="D7">
        <v>-4.4369355142506199</v>
      </c>
      <c r="E7">
        <v>2.8293617498708099E-4</v>
      </c>
      <c r="F7">
        <v>20</v>
      </c>
      <c r="G7" t="str">
        <f>VLOOKUP(A7,[1]inrix_key!$A:$C,3,FALSE)</f>
        <v>State_S</v>
      </c>
      <c r="H7">
        <f t="shared" si="0"/>
        <v>-5.5348827789857165</v>
      </c>
    </row>
    <row r="8" spans="1:11" x14ac:dyDescent="0.25">
      <c r="A8">
        <v>1187612015</v>
      </c>
      <c r="B8" t="s">
        <v>9</v>
      </c>
      <c r="C8">
        <v>-8.8043884832487707E-2</v>
      </c>
      <c r="D8">
        <v>-1.1029767357573499</v>
      </c>
      <c r="E8">
        <v>0.28381223328094701</v>
      </c>
      <c r="F8">
        <v>20</v>
      </c>
      <c r="G8" t="str">
        <f>VLOOKUP(A8,[1]inrix_key!$A:$C,3,FALSE)</f>
        <v>Chinden_W</v>
      </c>
      <c r="H8">
        <f t="shared" si="0"/>
        <v>-5.2826330899492628</v>
      </c>
    </row>
    <row r="9" spans="1:11" x14ac:dyDescent="0.25">
      <c r="A9">
        <v>448695754</v>
      </c>
      <c r="B9" t="s">
        <v>7</v>
      </c>
      <c r="C9">
        <v>-7.8696732026143801E-2</v>
      </c>
      <c r="D9">
        <v>-7.6718914345797904</v>
      </c>
      <c r="E9" s="1">
        <v>3.0881075108322602E-5</v>
      </c>
      <c r="F9">
        <v>10</v>
      </c>
      <c r="G9" t="str">
        <f>VLOOKUP(A9,[1]inrix_key!$A:$C,3,FALSE)</f>
        <v>State_S</v>
      </c>
      <c r="H9">
        <f t="shared" si="0"/>
        <v>-4.721803921568628</v>
      </c>
    </row>
    <row r="10" spans="1:11" x14ac:dyDescent="0.25">
      <c r="A10">
        <v>117503882</v>
      </c>
      <c r="B10" t="s">
        <v>7</v>
      </c>
      <c r="C10">
        <v>-7.3564333814333804E-2</v>
      </c>
      <c r="D10">
        <v>-4.0580741486778598</v>
      </c>
      <c r="E10">
        <v>3.6431590627043699E-3</v>
      </c>
      <c r="F10">
        <v>9</v>
      </c>
      <c r="G10" t="str">
        <f>VLOOKUP(A10,[1]inrix_key!$A:$C,3,FALSE)</f>
        <v>Franklin_E</v>
      </c>
      <c r="H10">
        <f t="shared" si="0"/>
        <v>-4.4138600288600287</v>
      </c>
    </row>
    <row r="11" spans="1:11" x14ac:dyDescent="0.25">
      <c r="A11">
        <v>119269713</v>
      </c>
      <c r="B11" t="s">
        <v>7</v>
      </c>
      <c r="C11">
        <v>-6.7500000000000004E-2</v>
      </c>
      <c r="D11">
        <v>-1.5882352941176401</v>
      </c>
      <c r="E11">
        <v>0.35773037705236899</v>
      </c>
      <c r="F11">
        <v>2</v>
      </c>
      <c r="G11" t="str">
        <f>VLOOKUP(A11,[1]inrix_key!$A:$C,3,FALSE)</f>
        <v>Colchester_E</v>
      </c>
      <c r="H11">
        <f t="shared" si="0"/>
        <v>-4.0500000000000007</v>
      </c>
    </row>
    <row r="12" spans="1:11" x14ac:dyDescent="0.25">
      <c r="A12">
        <v>1187327938</v>
      </c>
      <c r="B12" t="s">
        <v>9</v>
      </c>
      <c r="C12">
        <v>-5.6037850140055898E-2</v>
      </c>
      <c r="D12">
        <v>-2.6704937164204998</v>
      </c>
      <c r="E12">
        <v>1.51203432635603E-2</v>
      </c>
      <c r="F12">
        <v>20</v>
      </c>
      <c r="G12" t="str">
        <f>VLOOKUP(A12,[1]inrix_key!$A:$C,3,FALSE)</f>
        <v>Franklin_W</v>
      </c>
      <c r="H12">
        <f t="shared" si="0"/>
        <v>-3.3622710084033538</v>
      </c>
    </row>
    <row r="13" spans="1:11" x14ac:dyDescent="0.25">
      <c r="A13">
        <v>119269713</v>
      </c>
      <c r="B13" t="s">
        <v>9</v>
      </c>
      <c r="C13">
        <v>-5.5725524475524403E-2</v>
      </c>
      <c r="D13">
        <v>-0.98460348147281296</v>
      </c>
      <c r="E13">
        <v>0.35054639705716301</v>
      </c>
      <c r="F13">
        <v>10</v>
      </c>
      <c r="G13" t="str">
        <f>VLOOKUP(A13,[1]inrix_key!$A:$C,3,FALSE)</f>
        <v>Colchester_E</v>
      </c>
      <c r="H13">
        <f t="shared" si="0"/>
        <v>-3.3435314685314643</v>
      </c>
    </row>
    <row r="14" spans="1:11" x14ac:dyDescent="0.25">
      <c r="A14">
        <v>448697009</v>
      </c>
      <c r="B14" t="s">
        <v>6</v>
      </c>
      <c r="C14">
        <v>-5.0474264705882302E-2</v>
      </c>
      <c r="D14">
        <v>-2.94973494160977</v>
      </c>
      <c r="E14">
        <v>8.2266934378689704E-3</v>
      </c>
      <c r="F14">
        <v>20</v>
      </c>
      <c r="G14" t="str">
        <f>VLOOKUP(A14,[1]inrix_key!$A:$C,3,FALSE)</f>
        <v>Ustick_S</v>
      </c>
      <c r="H14">
        <f t="shared" si="0"/>
        <v>-3.0284558823529379</v>
      </c>
    </row>
    <row r="15" spans="1:11" x14ac:dyDescent="0.25">
      <c r="A15">
        <v>1187548975</v>
      </c>
      <c r="B15" t="s">
        <v>7</v>
      </c>
      <c r="C15">
        <v>-4.6620025317819398E-2</v>
      </c>
      <c r="D15">
        <v>-8.4690378808115696</v>
      </c>
      <c r="E15" s="1">
        <v>1.4001347059903699E-5</v>
      </c>
      <c r="F15">
        <v>10</v>
      </c>
      <c r="G15" t="str">
        <f>VLOOKUP(A15,[1]inrix_key!$A:$C,3,FALSE)</f>
        <v>Pine_S</v>
      </c>
      <c r="H15">
        <f t="shared" si="0"/>
        <v>-2.7972015190691639</v>
      </c>
    </row>
    <row r="16" spans="1:11" x14ac:dyDescent="0.25">
      <c r="A16">
        <v>384139881</v>
      </c>
      <c r="B16" t="s">
        <v>9</v>
      </c>
      <c r="C16">
        <v>-4.5289521875183598E-2</v>
      </c>
      <c r="D16">
        <v>-3.4084399367142701</v>
      </c>
      <c r="E16">
        <v>2.9476472961728201E-3</v>
      </c>
      <c r="F16">
        <v>20</v>
      </c>
      <c r="G16" t="str">
        <f>VLOOKUP(A16,[1]inrix_key!$A:$C,3,FALSE)</f>
        <v>Pine_W</v>
      </c>
      <c r="H16">
        <f t="shared" si="0"/>
        <v>-2.7173713125110157</v>
      </c>
    </row>
    <row r="17" spans="1:8" x14ac:dyDescent="0.25">
      <c r="A17">
        <v>448697009</v>
      </c>
      <c r="B17" t="s">
        <v>8</v>
      </c>
      <c r="C17">
        <v>-4.5009191176470502E-2</v>
      </c>
      <c r="D17">
        <v>-1.9550807288355401</v>
      </c>
      <c r="E17">
        <v>9.1480306592340896E-2</v>
      </c>
      <c r="F17">
        <v>8</v>
      </c>
      <c r="G17" t="str">
        <f>VLOOKUP(A17,[1]inrix_key!$A:$C,3,FALSE)</f>
        <v>Ustick_S</v>
      </c>
      <c r="H17">
        <f t="shared" si="0"/>
        <v>-2.7005514705882301</v>
      </c>
    </row>
    <row r="18" spans="1:8" x14ac:dyDescent="0.25">
      <c r="A18">
        <v>474871675</v>
      </c>
      <c r="B18" t="s">
        <v>9</v>
      </c>
      <c r="C18">
        <v>-4.4030349175711102E-2</v>
      </c>
      <c r="D18">
        <v>-2.7092539193959699</v>
      </c>
      <c r="E18">
        <v>1.8981579757395801E-2</v>
      </c>
      <c r="F18">
        <v>13</v>
      </c>
      <c r="G18" t="str">
        <f>VLOOKUP(A18,[1]inrix_key!$A:$C,3,FALSE)</f>
        <v>McMillan_E</v>
      </c>
      <c r="H18">
        <f t="shared" si="0"/>
        <v>-2.641820950542666</v>
      </c>
    </row>
    <row r="19" spans="1:8" x14ac:dyDescent="0.25">
      <c r="A19">
        <v>384139881</v>
      </c>
      <c r="B19" t="s">
        <v>8</v>
      </c>
      <c r="C19">
        <v>-4.0225183823529298E-2</v>
      </c>
      <c r="D19">
        <v>-7.1948525786087201</v>
      </c>
      <c r="E19">
        <v>1.78252074193666E-4</v>
      </c>
      <c r="F19">
        <v>8</v>
      </c>
      <c r="G19" t="str">
        <f>VLOOKUP(A19,[1]inrix_key!$A:$C,3,FALSE)</f>
        <v>Pine_W</v>
      </c>
      <c r="H19">
        <f t="shared" si="0"/>
        <v>-2.4135110294117581</v>
      </c>
    </row>
    <row r="20" spans="1:8" x14ac:dyDescent="0.25">
      <c r="A20">
        <v>1187635580</v>
      </c>
      <c r="B20" t="s">
        <v>6</v>
      </c>
      <c r="C20">
        <v>-3.4880514705882298E-2</v>
      </c>
      <c r="D20">
        <v>-3.6688468536652099</v>
      </c>
      <c r="E20">
        <v>1.63156238953945E-3</v>
      </c>
      <c r="F20">
        <v>20</v>
      </c>
      <c r="G20" t="str">
        <f>VLOOKUP(A20,[1]inrix_key!$A:$C,3,FALSE)</f>
        <v>WB_S</v>
      </c>
      <c r="H20">
        <f t="shared" si="0"/>
        <v>-2.092830882352938</v>
      </c>
    </row>
    <row r="21" spans="1:8" x14ac:dyDescent="0.25">
      <c r="A21">
        <v>1187579027</v>
      </c>
      <c r="B21" t="s">
        <v>7</v>
      </c>
      <c r="C21">
        <v>-3.2632190032189999E-2</v>
      </c>
      <c r="D21">
        <v>-2.2327189651939401</v>
      </c>
      <c r="E21">
        <v>5.2463365147174403E-2</v>
      </c>
      <c r="F21">
        <v>10</v>
      </c>
      <c r="G21" t="str">
        <f>VLOOKUP(A21,[1]inrix_key!$A:$C,3,FALSE)</f>
        <v>Fairview_E</v>
      </c>
      <c r="H21">
        <f t="shared" si="0"/>
        <v>-1.9579314019314</v>
      </c>
    </row>
    <row r="22" spans="1:8" x14ac:dyDescent="0.25">
      <c r="A22">
        <v>1187327938</v>
      </c>
      <c r="B22" t="s">
        <v>8</v>
      </c>
      <c r="C22">
        <v>-3.2169117647058799E-2</v>
      </c>
      <c r="D22">
        <v>-3.6675520709507401</v>
      </c>
      <c r="E22">
        <v>7.9900703188381002E-3</v>
      </c>
      <c r="F22">
        <v>8</v>
      </c>
      <c r="G22" t="str">
        <f>VLOOKUP(A22,[1]inrix_key!$A:$C,3,FALSE)</f>
        <v>Franklin_W</v>
      </c>
      <c r="H22">
        <f t="shared" si="0"/>
        <v>-1.9301470588235279</v>
      </c>
    </row>
    <row r="23" spans="1:8" x14ac:dyDescent="0.25">
      <c r="A23">
        <v>428958435</v>
      </c>
      <c r="B23" t="s">
        <v>6</v>
      </c>
      <c r="C23">
        <v>-3.2086397058823497E-2</v>
      </c>
      <c r="D23">
        <v>-4.5511856719349799</v>
      </c>
      <c r="E23">
        <v>2.1831360275439499E-4</v>
      </c>
      <c r="F23">
        <v>20</v>
      </c>
      <c r="G23">
        <f>VLOOKUP(A23,[1]inrix_key!$A:$C,3,FALSE)</f>
        <v>0</v>
      </c>
      <c r="H23">
        <f t="shared" si="0"/>
        <v>-1.9251838235294099</v>
      </c>
    </row>
    <row r="24" spans="1:8" x14ac:dyDescent="0.25">
      <c r="A24">
        <v>1187548947</v>
      </c>
      <c r="B24" t="s">
        <v>6</v>
      </c>
      <c r="C24">
        <v>-3.1639705882352903E-2</v>
      </c>
      <c r="D24">
        <v>-6.25937444191959</v>
      </c>
      <c r="E24" s="1">
        <v>5.1996984676878797E-6</v>
      </c>
      <c r="F24">
        <v>20</v>
      </c>
      <c r="G24" t="str">
        <f>VLOOKUP(A24,[1]inrix_key!$A:$C,3,FALSE)</f>
        <v>Fairview_S</v>
      </c>
      <c r="H24">
        <f t="shared" si="0"/>
        <v>-1.8983823529411743</v>
      </c>
    </row>
    <row r="25" spans="1:8" x14ac:dyDescent="0.25">
      <c r="A25">
        <v>117503882</v>
      </c>
      <c r="B25" t="s">
        <v>9</v>
      </c>
      <c r="C25">
        <v>-3.1021046722884901E-2</v>
      </c>
      <c r="D25">
        <v>-2.9669572059343201</v>
      </c>
      <c r="E25">
        <v>7.9198165725638293E-3</v>
      </c>
      <c r="F25">
        <v>20</v>
      </c>
      <c r="G25" t="str">
        <f>VLOOKUP(A25,[1]inrix_key!$A:$C,3,FALSE)</f>
        <v>Franklin_E</v>
      </c>
      <c r="H25">
        <f t="shared" si="0"/>
        <v>-1.861262803373094</v>
      </c>
    </row>
    <row r="26" spans="1:8" x14ac:dyDescent="0.25">
      <c r="A26">
        <v>448694747</v>
      </c>
      <c r="B26" t="s">
        <v>9</v>
      </c>
      <c r="C26">
        <v>-3.0586840120663601E-2</v>
      </c>
      <c r="D26">
        <v>-2.4069558517983101</v>
      </c>
      <c r="E26">
        <v>2.6419863978873401E-2</v>
      </c>
      <c r="F26">
        <v>20</v>
      </c>
      <c r="G26" t="str">
        <f>VLOOKUP(A26,[1]inrix_key!$A:$C,3,FALSE)</f>
        <v>Fairview_W</v>
      </c>
      <c r="H26">
        <f t="shared" si="0"/>
        <v>-1.8352104072398161</v>
      </c>
    </row>
    <row r="27" spans="1:8" x14ac:dyDescent="0.25">
      <c r="A27">
        <v>1187335042</v>
      </c>
      <c r="B27" t="s">
        <v>6</v>
      </c>
      <c r="C27">
        <v>-2.7413602941176399E-2</v>
      </c>
      <c r="D27">
        <v>-1.24712296844204</v>
      </c>
      <c r="E27">
        <v>0.22750707698853401</v>
      </c>
      <c r="F27">
        <v>20</v>
      </c>
      <c r="G27" t="str">
        <f>VLOOKUP(A27,[1]inrix_key!$A:$C,3,FALSE)</f>
        <v>Ustick_N</v>
      </c>
      <c r="H27">
        <f t="shared" si="0"/>
        <v>-1.644816176470584</v>
      </c>
    </row>
    <row r="28" spans="1:8" x14ac:dyDescent="0.25">
      <c r="A28">
        <v>448694757</v>
      </c>
      <c r="B28" t="s">
        <v>9</v>
      </c>
      <c r="C28">
        <v>-2.58029519500107E-2</v>
      </c>
      <c r="D28">
        <v>-2.3826177359880298</v>
      </c>
      <c r="E28">
        <v>2.7790641523166501E-2</v>
      </c>
      <c r="F28">
        <v>20</v>
      </c>
      <c r="G28" t="str">
        <f>VLOOKUP(A28,[1]inrix_key!$A:$C,3,FALSE)</f>
        <v>Ustick_W</v>
      </c>
      <c r="H28">
        <f t="shared" si="0"/>
        <v>-1.548177117000642</v>
      </c>
    </row>
    <row r="29" spans="1:8" x14ac:dyDescent="0.25">
      <c r="A29">
        <v>1187377510</v>
      </c>
      <c r="B29" t="s">
        <v>6</v>
      </c>
      <c r="C29">
        <v>-2.3297794117647E-2</v>
      </c>
      <c r="D29">
        <v>-3.46210866727156</v>
      </c>
      <c r="E29">
        <v>2.61030297741832E-3</v>
      </c>
      <c r="F29">
        <v>20</v>
      </c>
      <c r="G29" t="str">
        <f>VLOOKUP(A29,[1]inrix_key!$A:$C,3,FALSE)</f>
        <v>EB_S</v>
      </c>
      <c r="H29">
        <f t="shared" si="0"/>
        <v>-1.3978676470588201</v>
      </c>
    </row>
    <row r="30" spans="1:8" x14ac:dyDescent="0.25">
      <c r="A30">
        <v>428958434</v>
      </c>
      <c r="B30" t="s">
        <v>6</v>
      </c>
      <c r="C30">
        <v>-2.3181985294117601E-2</v>
      </c>
      <c r="D30">
        <v>-4.7305868624519896</v>
      </c>
      <c r="E30">
        <v>1.455269088861E-4</v>
      </c>
      <c r="F30">
        <v>20</v>
      </c>
      <c r="G30">
        <f>VLOOKUP(A30,[1]inrix_key!$A:$C,3,FALSE)</f>
        <v>0</v>
      </c>
      <c r="H30">
        <f t="shared" si="0"/>
        <v>-1.3909191176470561</v>
      </c>
    </row>
    <row r="31" spans="1:8" x14ac:dyDescent="0.25">
      <c r="A31">
        <v>1187654609</v>
      </c>
      <c r="B31" t="s">
        <v>6</v>
      </c>
      <c r="C31">
        <v>-2.2718749999999999E-2</v>
      </c>
      <c r="D31">
        <v>-2.7911531643654501</v>
      </c>
      <c r="E31">
        <v>1.1645866165855501E-2</v>
      </c>
      <c r="F31">
        <v>20</v>
      </c>
      <c r="G31" t="str">
        <f>VLOOKUP(A31,[1]inrix_key!$A:$C,3,FALSE)</f>
        <v>Pine_N</v>
      </c>
      <c r="H31">
        <f t="shared" si="0"/>
        <v>-1.3631249999999999</v>
      </c>
    </row>
    <row r="32" spans="1:8" x14ac:dyDescent="0.25">
      <c r="A32">
        <v>484371307</v>
      </c>
      <c r="B32" t="s">
        <v>7</v>
      </c>
      <c r="C32">
        <v>-2.2509632034632E-2</v>
      </c>
      <c r="D32">
        <v>-2.3738588564885199</v>
      </c>
      <c r="E32">
        <v>4.1644759675930697E-2</v>
      </c>
      <c r="F32">
        <v>10</v>
      </c>
      <c r="G32" t="str">
        <f>VLOOKUP(A32,[1]inrix_key!$A:$C,3,FALSE)</f>
        <v>Pine_E</v>
      </c>
      <c r="H32">
        <f t="shared" si="0"/>
        <v>-1.3505779220779199</v>
      </c>
    </row>
    <row r="33" spans="1:8" x14ac:dyDescent="0.25">
      <c r="A33">
        <v>474871675</v>
      </c>
      <c r="B33" t="s">
        <v>6</v>
      </c>
      <c r="C33">
        <v>-2.1862132352941099E-2</v>
      </c>
      <c r="D33">
        <v>-1.36457723172724</v>
      </c>
      <c r="E33">
        <v>0.18833063605334699</v>
      </c>
      <c r="F33">
        <v>20</v>
      </c>
      <c r="G33" t="str">
        <f>VLOOKUP(A33,[1]inrix_key!$A:$C,3,FALSE)</f>
        <v>McMillan_E</v>
      </c>
      <c r="H33">
        <f t="shared" si="0"/>
        <v>-1.311727941176466</v>
      </c>
    </row>
    <row r="34" spans="1:8" x14ac:dyDescent="0.25">
      <c r="A34">
        <v>1187335042</v>
      </c>
      <c r="B34" t="s">
        <v>9</v>
      </c>
      <c r="C34">
        <v>-2.16602751415251E-2</v>
      </c>
      <c r="D34">
        <v>-0.67413931078966605</v>
      </c>
      <c r="E34">
        <v>0.50834239104186196</v>
      </c>
      <c r="F34">
        <v>20</v>
      </c>
      <c r="G34" t="str">
        <f>VLOOKUP(A34,[1]inrix_key!$A:$C,3,FALSE)</f>
        <v>Ustick_N</v>
      </c>
      <c r="H34">
        <f t="shared" si="0"/>
        <v>-1.2996165084915061</v>
      </c>
    </row>
    <row r="35" spans="1:8" x14ac:dyDescent="0.25">
      <c r="A35">
        <v>1187586311</v>
      </c>
      <c r="B35" t="s">
        <v>9</v>
      </c>
      <c r="C35">
        <v>-2.08516775299863E-2</v>
      </c>
      <c r="D35">
        <v>-2.2662784623922798</v>
      </c>
      <c r="E35">
        <v>3.5303830907748503E-2</v>
      </c>
      <c r="F35">
        <v>20</v>
      </c>
      <c r="G35" t="str">
        <f>VLOOKUP(A35,[1]inrix_key!$A:$C,3,FALSE)</f>
        <v>EB_W</v>
      </c>
      <c r="H35">
        <f t="shared" si="0"/>
        <v>-1.2511006517991781</v>
      </c>
    </row>
    <row r="36" spans="1:8" x14ac:dyDescent="0.25">
      <c r="A36">
        <v>1187517040</v>
      </c>
      <c r="B36" t="s">
        <v>6</v>
      </c>
      <c r="C36">
        <v>-2.00551470588235E-2</v>
      </c>
      <c r="D36">
        <v>-2.78092494133984</v>
      </c>
      <c r="E36">
        <v>1.19079162056365E-2</v>
      </c>
      <c r="F36">
        <v>20</v>
      </c>
      <c r="G36" t="str">
        <f>VLOOKUP(A36,[1]inrix_key!$A:$C,3,FALSE)</f>
        <v>Wainwright_S</v>
      </c>
      <c r="H36">
        <f t="shared" si="0"/>
        <v>-1.20330882352941</v>
      </c>
    </row>
    <row r="37" spans="1:8" x14ac:dyDescent="0.25">
      <c r="A37">
        <v>1187579027</v>
      </c>
      <c r="B37" t="s">
        <v>9</v>
      </c>
      <c r="C37">
        <v>-1.8732132981397601E-2</v>
      </c>
      <c r="D37">
        <v>-1.5794535781769401</v>
      </c>
      <c r="E37">
        <v>0.13073630581571999</v>
      </c>
      <c r="F37">
        <v>20</v>
      </c>
      <c r="G37" t="str">
        <f>VLOOKUP(A37,[1]inrix_key!$A:$C,3,FALSE)</f>
        <v>Fairview_E</v>
      </c>
      <c r="H37">
        <f t="shared" si="0"/>
        <v>-1.1239279788838561</v>
      </c>
    </row>
    <row r="38" spans="1:8" x14ac:dyDescent="0.25">
      <c r="A38">
        <v>1187654609</v>
      </c>
      <c r="B38" t="s">
        <v>8</v>
      </c>
      <c r="C38">
        <v>-1.66084558823529E-2</v>
      </c>
      <c r="D38">
        <v>-1.22232287906001</v>
      </c>
      <c r="E38">
        <v>0.26114167884483702</v>
      </c>
      <c r="F38">
        <v>8</v>
      </c>
      <c r="G38" t="str">
        <f>VLOOKUP(A38,[1]inrix_key!$A:$C,3,FALSE)</f>
        <v>Pine_N</v>
      </c>
      <c r="H38">
        <f t="shared" si="0"/>
        <v>-0.99650735294117398</v>
      </c>
    </row>
    <row r="39" spans="1:8" x14ac:dyDescent="0.25">
      <c r="A39">
        <v>448725597</v>
      </c>
      <c r="B39" t="s">
        <v>7</v>
      </c>
      <c r="C39">
        <v>-1.6559126984126898E-2</v>
      </c>
      <c r="D39">
        <v>-0.59426837194707205</v>
      </c>
      <c r="E39">
        <v>0.56696882646179503</v>
      </c>
      <c r="F39">
        <v>10</v>
      </c>
      <c r="G39" t="str">
        <f>VLOOKUP(A39,[1]inrix_key!$A:$C,3,FALSE)</f>
        <v>Ustick_E</v>
      </c>
      <c r="H39">
        <f t="shared" si="0"/>
        <v>-0.99354761904761391</v>
      </c>
    </row>
    <row r="40" spans="1:8" x14ac:dyDescent="0.25">
      <c r="A40">
        <v>484371307</v>
      </c>
      <c r="B40" t="s">
        <v>9</v>
      </c>
      <c r="C40">
        <v>-1.6143264945838402E-2</v>
      </c>
      <c r="D40">
        <v>-3.6890415631593698</v>
      </c>
      <c r="E40">
        <v>1.55818198427384E-3</v>
      </c>
      <c r="F40">
        <v>20</v>
      </c>
      <c r="G40" t="str">
        <f>VLOOKUP(A40,[1]inrix_key!$A:$C,3,FALSE)</f>
        <v>Pine_E</v>
      </c>
      <c r="H40">
        <f t="shared" si="0"/>
        <v>-0.96859589675030411</v>
      </c>
    </row>
    <row r="41" spans="1:8" x14ac:dyDescent="0.25">
      <c r="A41">
        <v>1187635580</v>
      </c>
      <c r="B41" t="s">
        <v>7</v>
      </c>
      <c r="C41">
        <v>-1.55605089355089E-2</v>
      </c>
      <c r="D41">
        <v>-1.7703130833954299</v>
      </c>
      <c r="E41">
        <v>0.110451957395501</v>
      </c>
      <c r="F41">
        <v>10</v>
      </c>
      <c r="G41" t="str">
        <f>VLOOKUP(A41,[1]inrix_key!$A:$C,3,FALSE)</f>
        <v>WB_S</v>
      </c>
      <c r="H41">
        <f t="shared" si="0"/>
        <v>-0.93363053613053404</v>
      </c>
    </row>
    <row r="42" spans="1:8" x14ac:dyDescent="0.25">
      <c r="A42">
        <v>484366819</v>
      </c>
      <c r="B42" t="s">
        <v>9</v>
      </c>
      <c r="C42">
        <v>-1.20773832784862E-2</v>
      </c>
      <c r="D42">
        <v>-1.7107987766661401</v>
      </c>
      <c r="E42">
        <v>0.103396640503735</v>
      </c>
      <c r="F42">
        <v>20</v>
      </c>
      <c r="G42" t="str">
        <f>VLOOKUP(A42,[1]inrix_key!$A:$C,3,FALSE)</f>
        <v>Pine_E</v>
      </c>
      <c r="H42">
        <f t="shared" si="0"/>
        <v>-0.72464299670917198</v>
      </c>
    </row>
    <row r="43" spans="1:8" x14ac:dyDescent="0.25">
      <c r="A43">
        <v>448697007</v>
      </c>
      <c r="B43" t="s">
        <v>6</v>
      </c>
      <c r="C43">
        <v>-1.12610294117646E-2</v>
      </c>
      <c r="D43">
        <v>-1.2216820376667701</v>
      </c>
      <c r="E43">
        <v>0.23676977409323099</v>
      </c>
      <c r="F43">
        <v>20</v>
      </c>
      <c r="G43" t="str">
        <f>VLOOKUP(A43,[1]inrix_key!$A:$C,3,FALSE)</f>
        <v>WB_N</v>
      </c>
      <c r="H43">
        <f t="shared" si="0"/>
        <v>-0.67566176470587602</v>
      </c>
    </row>
    <row r="44" spans="1:8" x14ac:dyDescent="0.25">
      <c r="A44">
        <v>1187334983</v>
      </c>
      <c r="B44" t="s">
        <v>8</v>
      </c>
      <c r="C44">
        <v>-1.1089154411764701E-2</v>
      </c>
      <c r="D44">
        <v>-2.0838411480327901</v>
      </c>
      <c r="E44">
        <v>7.5654867246781499E-2</v>
      </c>
      <c r="F44">
        <v>8</v>
      </c>
      <c r="G44" t="str">
        <f>VLOOKUP(A44,[1]inrix_key!$A:$C,3,FALSE)</f>
        <v>Wainwright_N</v>
      </c>
      <c r="H44">
        <f t="shared" si="0"/>
        <v>-0.66534926470588207</v>
      </c>
    </row>
    <row r="45" spans="1:8" x14ac:dyDescent="0.25">
      <c r="A45">
        <v>448697010</v>
      </c>
      <c r="B45" t="s">
        <v>6</v>
      </c>
      <c r="C45">
        <v>-1.06323529411764E-2</v>
      </c>
      <c r="D45">
        <v>-1.81425080067966</v>
      </c>
      <c r="E45">
        <v>8.5462901435470806E-2</v>
      </c>
      <c r="F45">
        <v>20</v>
      </c>
      <c r="G45" t="str">
        <f>VLOOKUP(A45,[1]inrix_key!$A:$C,3,FALSE)</f>
        <v>RiverValley_N</v>
      </c>
      <c r="H45">
        <f t="shared" si="0"/>
        <v>-0.63794117647058401</v>
      </c>
    </row>
    <row r="46" spans="1:8" x14ac:dyDescent="0.25">
      <c r="A46">
        <v>117503882</v>
      </c>
      <c r="B46" t="s">
        <v>8</v>
      </c>
      <c r="C46">
        <v>-1.0225183823529301E-2</v>
      </c>
      <c r="D46">
        <v>-1.11575977179506</v>
      </c>
      <c r="E46">
        <v>0.30135745281055598</v>
      </c>
      <c r="F46">
        <v>8</v>
      </c>
      <c r="G46" t="str">
        <f>VLOOKUP(A46,[1]inrix_key!$A:$C,3,FALSE)</f>
        <v>Franklin_E</v>
      </c>
      <c r="H46">
        <f t="shared" si="0"/>
        <v>-0.61351102941175806</v>
      </c>
    </row>
    <row r="47" spans="1:8" x14ac:dyDescent="0.25">
      <c r="A47">
        <v>448725595</v>
      </c>
      <c r="B47" t="s">
        <v>9</v>
      </c>
      <c r="C47">
        <v>-9.9431399482869994E-3</v>
      </c>
      <c r="D47">
        <v>-3.6997919537225199</v>
      </c>
      <c r="E47">
        <v>1.5204649018952E-3</v>
      </c>
      <c r="F47">
        <v>20</v>
      </c>
      <c r="G47" t="str">
        <f>VLOOKUP(A47,[1]inrix_key!$A:$C,3,FALSE)</f>
        <v>StLukes_S</v>
      </c>
      <c r="H47">
        <f t="shared" si="0"/>
        <v>-0.59658839689721999</v>
      </c>
    </row>
    <row r="48" spans="1:8" x14ac:dyDescent="0.25">
      <c r="A48">
        <v>1187548987</v>
      </c>
      <c r="B48" t="s">
        <v>6</v>
      </c>
      <c r="C48">
        <v>-9.2113970588235099E-3</v>
      </c>
      <c r="D48">
        <v>-1.34959149217986</v>
      </c>
      <c r="E48">
        <v>0.193009273040497</v>
      </c>
      <c r="F48">
        <v>20</v>
      </c>
      <c r="G48" t="str">
        <f>VLOOKUP(A48,[1]inrix_key!$A:$C,3,FALSE)</f>
        <v>McMillan_S</v>
      </c>
      <c r="H48">
        <f t="shared" si="0"/>
        <v>-0.55268382352941059</v>
      </c>
    </row>
    <row r="49" spans="1:8" x14ac:dyDescent="0.25">
      <c r="A49">
        <v>428958434</v>
      </c>
      <c r="B49" t="s">
        <v>8</v>
      </c>
      <c r="C49">
        <v>-8.77757352941177E-3</v>
      </c>
      <c r="D49">
        <v>-0.529561308244484</v>
      </c>
      <c r="E49">
        <v>0.61278964002322001</v>
      </c>
      <c r="F49">
        <v>8</v>
      </c>
      <c r="G49">
        <f>VLOOKUP(A49,[1]inrix_key!$A:$C,3,FALSE)</f>
        <v>0</v>
      </c>
      <c r="H49">
        <f t="shared" si="0"/>
        <v>-0.52665441176470618</v>
      </c>
    </row>
    <row r="50" spans="1:8" x14ac:dyDescent="0.25">
      <c r="A50">
        <v>384121516</v>
      </c>
      <c r="B50" t="s">
        <v>9</v>
      </c>
      <c r="C50">
        <v>-8.7314170607514507E-3</v>
      </c>
      <c r="D50">
        <v>-2.03977985078421</v>
      </c>
      <c r="E50">
        <v>5.6326241066627002E-2</v>
      </c>
      <c r="F50">
        <v>19</v>
      </c>
      <c r="G50" t="str">
        <f>VLOOKUP(A50,[1]inrix_key!$A:$C,3,FALSE)</f>
        <v>McMillan_W</v>
      </c>
      <c r="H50">
        <f t="shared" si="0"/>
        <v>-0.52388502364508704</v>
      </c>
    </row>
    <row r="51" spans="1:8" x14ac:dyDescent="0.25">
      <c r="A51">
        <v>1187612015</v>
      </c>
      <c r="B51" t="s">
        <v>6</v>
      </c>
      <c r="C51">
        <v>-8.5661764705882004E-3</v>
      </c>
      <c r="D51">
        <v>-9.9042047268874403E-2</v>
      </c>
      <c r="E51">
        <v>0.92214237775837704</v>
      </c>
      <c r="F51">
        <v>20</v>
      </c>
      <c r="G51" t="str">
        <f>VLOOKUP(A51,[1]inrix_key!$A:$C,3,FALSE)</f>
        <v>Chinden_W</v>
      </c>
      <c r="H51">
        <f t="shared" si="0"/>
        <v>-0.51397058823529207</v>
      </c>
    </row>
    <row r="52" spans="1:8" x14ac:dyDescent="0.25">
      <c r="A52">
        <v>448695751</v>
      </c>
      <c r="B52" t="s">
        <v>7</v>
      </c>
      <c r="C52">
        <v>-7.7709956709956802E-3</v>
      </c>
      <c r="D52">
        <v>-0.84181596565944505</v>
      </c>
      <c r="E52">
        <v>0.42169550892026703</v>
      </c>
      <c r="F52">
        <v>10</v>
      </c>
      <c r="G52" t="str">
        <f>VLOOKUP(A52,[1]inrix_key!$A:$C,3,FALSE)</f>
        <v>Riverside_N</v>
      </c>
      <c r="H52">
        <f t="shared" si="0"/>
        <v>-0.46625974025974082</v>
      </c>
    </row>
    <row r="53" spans="1:8" x14ac:dyDescent="0.25">
      <c r="A53">
        <v>384121516</v>
      </c>
      <c r="B53" t="s">
        <v>8</v>
      </c>
      <c r="C53">
        <v>-7.5137867647059103E-3</v>
      </c>
      <c r="D53">
        <v>-1.19483040048734</v>
      </c>
      <c r="E53">
        <v>0.27106095710265199</v>
      </c>
      <c r="F53">
        <v>8</v>
      </c>
      <c r="G53" t="str">
        <f>VLOOKUP(A53,[1]inrix_key!$A:$C,3,FALSE)</f>
        <v>McMillan_W</v>
      </c>
      <c r="H53">
        <f t="shared" si="0"/>
        <v>-0.45082720588235464</v>
      </c>
    </row>
    <row r="54" spans="1:8" x14ac:dyDescent="0.25">
      <c r="A54">
        <v>448725596</v>
      </c>
      <c r="B54" t="s">
        <v>7</v>
      </c>
      <c r="C54">
        <v>-6.2857546864899701E-3</v>
      </c>
      <c r="D54">
        <v>-1.5777546949694199</v>
      </c>
      <c r="E54">
        <v>0.14907753416323899</v>
      </c>
      <c r="F54">
        <v>10</v>
      </c>
      <c r="G54" t="str">
        <f>VLOOKUP(A54,[1]inrix_key!$A:$C,3,FALSE)</f>
        <v>Franklin_S</v>
      </c>
      <c r="H54">
        <f t="shared" si="0"/>
        <v>-0.37714528118939822</v>
      </c>
    </row>
    <row r="55" spans="1:8" x14ac:dyDescent="0.25">
      <c r="A55">
        <v>428958435</v>
      </c>
      <c r="B55" t="s">
        <v>7</v>
      </c>
      <c r="C55">
        <v>-6.2424977799977804E-3</v>
      </c>
      <c r="D55">
        <v>-1.3633780885934099</v>
      </c>
      <c r="E55">
        <v>0.20589139096827999</v>
      </c>
      <c r="F55">
        <v>10</v>
      </c>
      <c r="G55">
        <f>VLOOKUP(A55,[1]inrix_key!$A:$C,3,FALSE)</f>
        <v>0</v>
      </c>
      <c r="H55">
        <f t="shared" si="0"/>
        <v>-0.37454986679986685</v>
      </c>
    </row>
    <row r="56" spans="1:8" x14ac:dyDescent="0.25">
      <c r="A56">
        <v>1187635580</v>
      </c>
      <c r="B56" t="s">
        <v>8</v>
      </c>
      <c r="C56">
        <v>-6.2270220588235203E-3</v>
      </c>
      <c r="D56">
        <v>-0.32437938302188501</v>
      </c>
      <c r="E56">
        <v>0.75512881823534095</v>
      </c>
      <c r="F56">
        <v>8</v>
      </c>
      <c r="G56" t="str">
        <f>VLOOKUP(A56,[1]inrix_key!$A:$C,3,FALSE)</f>
        <v>WB_S</v>
      </c>
      <c r="H56">
        <f t="shared" si="0"/>
        <v>-0.37362132352941124</v>
      </c>
    </row>
    <row r="57" spans="1:8" x14ac:dyDescent="0.25">
      <c r="A57">
        <v>1187548987</v>
      </c>
      <c r="B57" t="s">
        <v>8</v>
      </c>
      <c r="C57">
        <v>-5.8363970588235E-3</v>
      </c>
      <c r="D57">
        <v>-0.42968192158943902</v>
      </c>
      <c r="E57">
        <v>0.68034360920633896</v>
      </c>
      <c r="F57">
        <v>8</v>
      </c>
      <c r="G57" t="str">
        <f>VLOOKUP(A57,[1]inrix_key!$A:$C,3,FALSE)</f>
        <v>McMillan_S</v>
      </c>
      <c r="H57">
        <f t="shared" si="0"/>
        <v>-0.35018382352941002</v>
      </c>
    </row>
    <row r="58" spans="1:8" x14ac:dyDescent="0.25">
      <c r="A58">
        <v>428958433</v>
      </c>
      <c r="B58" t="s">
        <v>6</v>
      </c>
      <c r="C58">
        <v>-5.20220588235293E-3</v>
      </c>
      <c r="D58">
        <v>-4.61442670807208</v>
      </c>
      <c r="E58">
        <v>1.8918526560764899E-4</v>
      </c>
      <c r="F58">
        <v>20</v>
      </c>
      <c r="G58" t="str">
        <f>VLOOKUP(A58,[1]inrix_key!$A:$C,3,FALSE)</f>
        <v>EB_S</v>
      </c>
      <c r="H58">
        <f t="shared" si="0"/>
        <v>-0.31213235294117581</v>
      </c>
    </row>
    <row r="59" spans="1:8" x14ac:dyDescent="0.25">
      <c r="A59">
        <v>484366819</v>
      </c>
      <c r="B59" t="s">
        <v>7</v>
      </c>
      <c r="C59">
        <v>-4.9853174603174599E-3</v>
      </c>
      <c r="D59">
        <v>-0.39064957287055202</v>
      </c>
      <c r="E59">
        <v>0.70514215147658799</v>
      </c>
      <c r="F59">
        <v>10</v>
      </c>
      <c r="G59" t="str">
        <f>VLOOKUP(A59,[1]inrix_key!$A:$C,3,FALSE)</f>
        <v>Pine_E</v>
      </c>
      <c r="H59">
        <f t="shared" si="0"/>
        <v>-0.29911904761904762</v>
      </c>
    </row>
    <row r="60" spans="1:8" x14ac:dyDescent="0.25">
      <c r="A60">
        <v>1187635580</v>
      </c>
      <c r="B60" t="s">
        <v>9</v>
      </c>
      <c r="C60">
        <v>-4.8371835272570498E-3</v>
      </c>
      <c r="D60">
        <v>-0.87069426265588601</v>
      </c>
      <c r="E60">
        <v>0.39478931551987501</v>
      </c>
      <c r="F60">
        <v>20</v>
      </c>
      <c r="G60" t="str">
        <f>VLOOKUP(A60,[1]inrix_key!$A:$C,3,FALSE)</f>
        <v>WB_S</v>
      </c>
      <c r="H60">
        <f t="shared" si="0"/>
        <v>-0.29023101163542298</v>
      </c>
    </row>
    <row r="61" spans="1:8" x14ac:dyDescent="0.25">
      <c r="A61">
        <v>1187377510</v>
      </c>
      <c r="B61" t="s">
        <v>8</v>
      </c>
      <c r="C61">
        <v>-4.4485294117647097E-3</v>
      </c>
      <c r="D61">
        <v>-0.26602097624757298</v>
      </c>
      <c r="E61">
        <v>0.79788814330308699</v>
      </c>
      <c r="F61">
        <v>8</v>
      </c>
      <c r="G61" t="str">
        <f>VLOOKUP(A61,[1]inrix_key!$A:$C,3,FALSE)</f>
        <v>EB_S</v>
      </c>
      <c r="H61">
        <f t="shared" si="0"/>
        <v>-0.26691176470588257</v>
      </c>
    </row>
    <row r="62" spans="1:8" x14ac:dyDescent="0.25">
      <c r="A62">
        <v>428958435</v>
      </c>
      <c r="B62" t="s">
        <v>9</v>
      </c>
      <c r="C62">
        <v>-3.7888413057530698E-3</v>
      </c>
      <c r="D62">
        <v>-1.1763417613045499</v>
      </c>
      <c r="E62">
        <v>0.25398699944168002</v>
      </c>
      <c r="F62">
        <v>20</v>
      </c>
      <c r="G62">
        <f>VLOOKUP(A62,[1]inrix_key!$A:$C,3,FALSE)</f>
        <v>0</v>
      </c>
      <c r="H62">
        <f t="shared" si="0"/>
        <v>-0.22733047834518419</v>
      </c>
    </row>
    <row r="63" spans="1:8" x14ac:dyDescent="0.25">
      <c r="A63">
        <v>1187548987</v>
      </c>
      <c r="B63" t="s">
        <v>9</v>
      </c>
      <c r="C63">
        <v>-3.23534761806817E-3</v>
      </c>
      <c r="D63">
        <v>-0.46088868752745299</v>
      </c>
      <c r="E63">
        <v>0.65011041330804298</v>
      </c>
      <c r="F63">
        <v>20</v>
      </c>
      <c r="G63" t="str">
        <f>VLOOKUP(A63,[1]inrix_key!$A:$C,3,FALSE)</f>
        <v>McMillan_S</v>
      </c>
      <c r="H63">
        <f t="shared" si="0"/>
        <v>-0.19412085708409019</v>
      </c>
    </row>
    <row r="64" spans="1:8" x14ac:dyDescent="0.25">
      <c r="A64">
        <v>484347992</v>
      </c>
      <c r="B64" t="s">
        <v>7</v>
      </c>
      <c r="C64">
        <v>-1.6166666666666599E-3</v>
      </c>
      <c r="D64">
        <v>-1.07001927684618</v>
      </c>
      <c r="E64">
        <v>0.31246651828146499</v>
      </c>
      <c r="F64">
        <v>10</v>
      </c>
      <c r="G64">
        <f>VLOOKUP(A64,[1]inrix_key!$A:$C,3,FALSE)</f>
        <v>0</v>
      </c>
      <c r="H64">
        <f t="shared" si="0"/>
        <v>-9.69999999999996E-2</v>
      </c>
    </row>
    <row r="65" spans="1:8" x14ac:dyDescent="0.25">
      <c r="A65">
        <v>448725595</v>
      </c>
      <c r="B65" t="s">
        <v>7</v>
      </c>
      <c r="C65">
        <v>-1.3493966817496299E-3</v>
      </c>
      <c r="D65">
        <v>-0.27933773287893798</v>
      </c>
      <c r="E65">
        <v>0.78629876186571601</v>
      </c>
      <c r="F65">
        <v>10</v>
      </c>
      <c r="G65" t="str">
        <f>VLOOKUP(A65,[1]inrix_key!$A:$C,3,FALSE)</f>
        <v>StLukes_S</v>
      </c>
      <c r="H65">
        <f t="shared" si="0"/>
        <v>-8.096380090497779E-2</v>
      </c>
    </row>
    <row r="66" spans="1:8" x14ac:dyDescent="0.25">
      <c r="A66">
        <v>1187654588</v>
      </c>
      <c r="B66" t="s">
        <v>6</v>
      </c>
      <c r="C66">
        <v>-9.7794117647059201E-4</v>
      </c>
      <c r="D66">
        <v>-7.0090394067687703E-2</v>
      </c>
      <c r="E66">
        <v>0.94485417428113605</v>
      </c>
      <c r="F66">
        <v>20</v>
      </c>
      <c r="G66" t="str">
        <f>VLOOKUP(A66,[1]inrix_key!$A:$C,3,FALSE)</f>
        <v>Franklin_N</v>
      </c>
      <c r="H66">
        <f t="shared" ref="H66:H129" si="1">60*C66</f>
        <v>-5.8676470588235524E-2</v>
      </c>
    </row>
    <row r="67" spans="1:8" x14ac:dyDescent="0.25">
      <c r="A67">
        <v>1187549053</v>
      </c>
      <c r="B67" t="s">
        <v>6</v>
      </c>
      <c r="C67">
        <v>-8.2904411764702605E-4</v>
      </c>
      <c r="D67">
        <v>-7.8063247264686095E-2</v>
      </c>
      <c r="E67">
        <v>0.93859399525353104</v>
      </c>
      <c r="F67">
        <v>20</v>
      </c>
      <c r="G67" t="str">
        <f>VLOOKUP(A67,[1]inrix_key!$A:$C,3,FALSE)</f>
        <v>HobbleCreek_S</v>
      </c>
      <c r="H67">
        <f t="shared" si="1"/>
        <v>-4.974264705882156E-2</v>
      </c>
    </row>
    <row r="68" spans="1:8" x14ac:dyDescent="0.25">
      <c r="A68">
        <v>428958434</v>
      </c>
      <c r="B68" t="s">
        <v>7</v>
      </c>
      <c r="C68">
        <v>-7.0292828086945499E-4</v>
      </c>
      <c r="D68">
        <v>-7.6708894941874398E-2</v>
      </c>
      <c r="E68">
        <v>0.94053333567094799</v>
      </c>
      <c r="F68">
        <v>10</v>
      </c>
      <c r="G68">
        <f>VLOOKUP(A68,[1]inrix_key!$A:$C,3,FALSE)</f>
        <v>0</v>
      </c>
      <c r="H68">
        <f t="shared" si="1"/>
        <v>-4.2175696852167301E-2</v>
      </c>
    </row>
    <row r="69" spans="1:8" x14ac:dyDescent="0.25">
      <c r="A69">
        <v>484347992</v>
      </c>
      <c r="B69" t="s">
        <v>9</v>
      </c>
      <c r="C69">
        <v>-4.9847444222444201E-4</v>
      </c>
      <c r="D69">
        <v>-1.20012062061485</v>
      </c>
      <c r="E69">
        <v>0.244843180053677</v>
      </c>
      <c r="F69">
        <v>20</v>
      </c>
      <c r="G69">
        <f>VLOOKUP(A69,[1]inrix_key!$A:$C,3,FALSE)</f>
        <v>0</v>
      </c>
      <c r="H69">
        <f t="shared" si="1"/>
        <v>-2.9908466533466523E-2</v>
      </c>
    </row>
    <row r="70" spans="1:8" x14ac:dyDescent="0.25">
      <c r="A70">
        <v>484347992</v>
      </c>
      <c r="B70" t="s">
        <v>8</v>
      </c>
      <c r="C70">
        <v>-2.3897058823529299E-4</v>
      </c>
      <c r="D70">
        <v>-0.71811775668570099</v>
      </c>
      <c r="E70">
        <v>0.49594717908755898</v>
      </c>
      <c r="F70">
        <v>8</v>
      </c>
      <c r="G70">
        <f>VLOOKUP(A70,[1]inrix_key!$A:$C,3,FALSE)</f>
        <v>0</v>
      </c>
      <c r="H70">
        <f t="shared" si="1"/>
        <v>-1.4338235294117579E-2</v>
      </c>
    </row>
    <row r="71" spans="1:8" x14ac:dyDescent="0.25">
      <c r="A71">
        <v>448725596</v>
      </c>
      <c r="B71" t="s">
        <v>6</v>
      </c>
      <c r="C71">
        <v>-2.31617647058807E-4</v>
      </c>
      <c r="D71">
        <v>-2.4690385117922702E-2</v>
      </c>
      <c r="E71">
        <v>0.98055939802608105</v>
      </c>
      <c r="F71">
        <v>20</v>
      </c>
      <c r="G71" t="str">
        <f>VLOOKUP(A71,[1]inrix_key!$A:$C,3,FALSE)</f>
        <v>Franklin_S</v>
      </c>
      <c r="H71">
        <f t="shared" si="1"/>
        <v>-1.3897058823528419E-2</v>
      </c>
    </row>
    <row r="72" spans="1:8" x14ac:dyDescent="0.25">
      <c r="A72">
        <v>119501618</v>
      </c>
      <c r="B72" t="s">
        <v>6</v>
      </c>
      <c r="C72" s="1">
        <v>2.9411764705855601E-5</v>
      </c>
      <c r="D72">
        <v>2.7095024227769501E-3</v>
      </c>
      <c r="E72">
        <v>0.99786637901447195</v>
      </c>
      <c r="F72">
        <v>20</v>
      </c>
      <c r="G72" t="str">
        <f>VLOOKUP(A72,[1]inrix_key!$A:$C,3,FALSE)</f>
        <v>McMillan_N</v>
      </c>
      <c r="H72">
        <f t="shared" si="1"/>
        <v>1.764705882351336E-3</v>
      </c>
    </row>
    <row r="73" spans="1:8" x14ac:dyDescent="0.25">
      <c r="A73">
        <v>484366819</v>
      </c>
      <c r="B73" t="s">
        <v>6</v>
      </c>
      <c r="C73">
        <v>2.5735294117645299E-4</v>
      </c>
      <c r="D73">
        <v>0.13423835564759101</v>
      </c>
      <c r="E73">
        <v>0.89462585530377503</v>
      </c>
      <c r="F73">
        <v>20</v>
      </c>
      <c r="G73" t="str">
        <f>VLOOKUP(A73,[1]inrix_key!$A:$C,3,FALSE)</f>
        <v>Pine_E</v>
      </c>
      <c r="H73">
        <f t="shared" si="1"/>
        <v>1.544117647058718E-2</v>
      </c>
    </row>
    <row r="74" spans="1:8" x14ac:dyDescent="0.25">
      <c r="A74">
        <v>119269713</v>
      </c>
      <c r="B74" t="s">
        <v>6</v>
      </c>
      <c r="C74">
        <v>3.8744613229907399E-4</v>
      </c>
      <c r="D74">
        <v>5.02578336731168E-2</v>
      </c>
      <c r="E74">
        <v>0.96044151535579503</v>
      </c>
      <c r="F74">
        <v>20</v>
      </c>
      <c r="G74" t="str">
        <f>VLOOKUP(A74,[1]inrix_key!$A:$C,3,FALSE)</f>
        <v>Colchester_E</v>
      </c>
      <c r="H74">
        <f t="shared" si="1"/>
        <v>2.3246767937944439E-2</v>
      </c>
    </row>
    <row r="75" spans="1:8" x14ac:dyDescent="0.25">
      <c r="A75">
        <v>484371307</v>
      </c>
      <c r="B75" t="s">
        <v>6</v>
      </c>
      <c r="C75">
        <v>3.9522058823530102E-4</v>
      </c>
      <c r="D75">
        <v>0.27799142525959503</v>
      </c>
      <c r="E75">
        <v>0.78402149093936302</v>
      </c>
      <c r="F75">
        <v>20</v>
      </c>
      <c r="G75" t="str">
        <f>VLOOKUP(A75,[1]inrix_key!$A:$C,3,FALSE)</f>
        <v>Pine_E</v>
      </c>
      <c r="H75">
        <f t="shared" si="1"/>
        <v>2.3713235294118062E-2</v>
      </c>
    </row>
    <row r="76" spans="1:8" x14ac:dyDescent="0.25">
      <c r="A76">
        <v>1187548975</v>
      </c>
      <c r="B76" t="s">
        <v>9</v>
      </c>
      <c r="C76">
        <v>4.1992970265027898E-4</v>
      </c>
      <c r="D76">
        <v>5.20153251851415E-2</v>
      </c>
      <c r="E76">
        <v>0.95905946523331298</v>
      </c>
      <c r="F76">
        <v>20</v>
      </c>
      <c r="G76" t="str">
        <f>VLOOKUP(A76,[1]inrix_key!$A:$C,3,FALSE)</f>
        <v>Pine_S</v>
      </c>
      <c r="H76">
        <f t="shared" si="1"/>
        <v>2.5195782159016737E-2</v>
      </c>
    </row>
    <row r="77" spans="1:8" x14ac:dyDescent="0.25">
      <c r="A77">
        <v>484347992</v>
      </c>
      <c r="B77" t="s">
        <v>6</v>
      </c>
      <c r="C77">
        <v>4.5588235294117602E-4</v>
      </c>
      <c r="D77">
        <v>1.17057922308947</v>
      </c>
      <c r="E77">
        <v>0.25624110328779698</v>
      </c>
      <c r="F77">
        <v>20</v>
      </c>
      <c r="G77">
        <f>VLOOKUP(A77,[1]inrix_key!$A:$C,3,FALSE)</f>
        <v>0</v>
      </c>
      <c r="H77">
        <f t="shared" si="1"/>
        <v>2.7352941176470563E-2</v>
      </c>
    </row>
    <row r="78" spans="1:8" x14ac:dyDescent="0.25">
      <c r="A78">
        <v>1187548947</v>
      </c>
      <c r="B78" t="s">
        <v>8</v>
      </c>
      <c r="C78">
        <v>6.3878676470587004E-4</v>
      </c>
      <c r="D78">
        <v>6.0688557223223798E-2</v>
      </c>
      <c r="E78">
        <v>0.95330360526880598</v>
      </c>
      <c r="F78">
        <v>8</v>
      </c>
      <c r="G78" t="str">
        <f>VLOOKUP(A78,[1]inrix_key!$A:$C,3,FALSE)</f>
        <v>Fairview_S</v>
      </c>
      <c r="H78">
        <f t="shared" si="1"/>
        <v>3.8327205882352201E-2</v>
      </c>
    </row>
    <row r="79" spans="1:8" x14ac:dyDescent="0.25">
      <c r="A79">
        <v>448697007</v>
      </c>
      <c r="B79" t="s">
        <v>9</v>
      </c>
      <c r="C79">
        <v>8.4987745098039297E-4</v>
      </c>
      <c r="D79">
        <v>0.18704237971773799</v>
      </c>
      <c r="E79">
        <v>0.85361022600305003</v>
      </c>
      <c r="F79">
        <v>20</v>
      </c>
      <c r="G79" t="str">
        <f>VLOOKUP(A79,[1]inrix_key!$A:$C,3,FALSE)</f>
        <v>WB_N</v>
      </c>
      <c r="H79">
        <f t="shared" si="1"/>
        <v>5.099264705882358E-2</v>
      </c>
    </row>
    <row r="80" spans="1:8" x14ac:dyDescent="0.25">
      <c r="A80">
        <v>119501618</v>
      </c>
      <c r="B80" t="s">
        <v>8</v>
      </c>
      <c r="C80">
        <v>9.3290441176474505E-4</v>
      </c>
      <c r="D80">
        <v>7.0465822315035703E-2</v>
      </c>
      <c r="E80">
        <v>0.94579378365725197</v>
      </c>
      <c r="F80">
        <v>8</v>
      </c>
      <c r="G80" t="str">
        <f>VLOOKUP(A80,[1]inrix_key!$A:$C,3,FALSE)</f>
        <v>McMillan_N</v>
      </c>
      <c r="H80">
        <f t="shared" si="1"/>
        <v>5.5974264705884701E-2</v>
      </c>
    </row>
    <row r="81" spans="1:8" x14ac:dyDescent="0.25">
      <c r="A81">
        <v>448725596</v>
      </c>
      <c r="B81" t="s">
        <v>9</v>
      </c>
      <c r="C81">
        <v>1.8574701034259899E-3</v>
      </c>
      <c r="D81">
        <v>0.38483444435831798</v>
      </c>
      <c r="E81">
        <v>0.70463394692651204</v>
      </c>
      <c r="F81">
        <v>20</v>
      </c>
      <c r="G81" t="str">
        <f>VLOOKUP(A81,[1]inrix_key!$A:$C,3,FALSE)</f>
        <v>Franklin_S</v>
      </c>
      <c r="H81">
        <f t="shared" si="1"/>
        <v>0.1114482062055594</v>
      </c>
    </row>
    <row r="82" spans="1:8" x14ac:dyDescent="0.25">
      <c r="A82">
        <v>119501618</v>
      </c>
      <c r="B82" t="s">
        <v>7</v>
      </c>
      <c r="C82">
        <v>2.3182040182040198E-3</v>
      </c>
      <c r="D82">
        <v>0.167459878538749</v>
      </c>
      <c r="E82">
        <v>0.87071057680494601</v>
      </c>
      <c r="F82">
        <v>10</v>
      </c>
      <c r="G82" t="str">
        <f>VLOOKUP(A82,[1]inrix_key!$A:$C,3,FALSE)</f>
        <v>McMillan_N</v>
      </c>
      <c r="H82">
        <f t="shared" si="1"/>
        <v>0.13909224109224119</v>
      </c>
    </row>
    <row r="83" spans="1:8" x14ac:dyDescent="0.25">
      <c r="A83">
        <v>384121516</v>
      </c>
      <c r="B83" t="s">
        <v>6</v>
      </c>
      <c r="C83">
        <v>2.3676470588235299E-3</v>
      </c>
      <c r="D83">
        <v>0.41788574245355598</v>
      </c>
      <c r="E83">
        <v>0.68071544839739595</v>
      </c>
      <c r="F83">
        <v>20</v>
      </c>
      <c r="G83" t="str">
        <f>VLOOKUP(A83,[1]inrix_key!$A:$C,3,FALSE)</f>
        <v>McMillan_W</v>
      </c>
      <c r="H83">
        <f t="shared" si="1"/>
        <v>0.14205882352941179</v>
      </c>
    </row>
    <row r="84" spans="1:8" x14ac:dyDescent="0.25">
      <c r="A84">
        <v>1187532837</v>
      </c>
      <c r="B84" t="s">
        <v>6</v>
      </c>
      <c r="C84">
        <v>2.4319852941176302E-3</v>
      </c>
      <c r="D84">
        <v>0.57905152838850404</v>
      </c>
      <c r="E84">
        <v>0.56935648299987496</v>
      </c>
      <c r="F84">
        <v>20</v>
      </c>
      <c r="G84" t="str">
        <f>VLOOKUP(A84,[1]inrix_key!$A:$C,3,FALSE)</f>
        <v>HobbleCreek_N</v>
      </c>
      <c r="H84">
        <f t="shared" si="1"/>
        <v>0.14591911764705781</v>
      </c>
    </row>
    <row r="85" spans="1:8" x14ac:dyDescent="0.25">
      <c r="A85">
        <v>1187636735</v>
      </c>
      <c r="B85" t="s">
        <v>8</v>
      </c>
      <c r="C85">
        <v>2.5183823529411702E-3</v>
      </c>
      <c r="D85">
        <v>0.14813036875298599</v>
      </c>
      <c r="E85">
        <v>0.88641662716513403</v>
      </c>
      <c r="F85">
        <v>8</v>
      </c>
      <c r="G85" t="str">
        <f>VLOOKUP(A85,[1]inrix_key!$A:$C,3,FALSE)</f>
        <v>WB_E</v>
      </c>
      <c r="H85">
        <f t="shared" si="1"/>
        <v>0.15110294117647022</v>
      </c>
    </row>
    <row r="86" spans="1:8" x14ac:dyDescent="0.25">
      <c r="A86">
        <v>428958433</v>
      </c>
      <c r="B86" t="s">
        <v>8</v>
      </c>
      <c r="C86">
        <v>2.58731617647059E-3</v>
      </c>
      <c r="D86">
        <v>0.59845031764120205</v>
      </c>
      <c r="E86">
        <v>0.56839033807161798</v>
      </c>
      <c r="F86">
        <v>8</v>
      </c>
      <c r="G86" t="str">
        <f>VLOOKUP(A86,[1]inrix_key!$A:$C,3,FALSE)</f>
        <v>EB_S</v>
      </c>
      <c r="H86">
        <f t="shared" si="1"/>
        <v>0.15523897058823541</v>
      </c>
    </row>
    <row r="87" spans="1:8" x14ac:dyDescent="0.25">
      <c r="A87">
        <v>1187549053</v>
      </c>
      <c r="B87" t="s">
        <v>9</v>
      </c>
      <c r="C87">
        <v>2.8471544386985399E-3</v>
      </c>
      <c r="D87">
        <v>0.363896382840252</v>
      </c>
      <c r="E87">
        <v>0.71995330504682398</v>
      </c>
      <c r="F87">
        <v>20</v>
      </c>
      <c r="G87" t="str">
        <f>VLOOKUP(A87,[1]inrix_key!$A:$C,3,FALSE)</f>
        <v>HobbleCreek_S</v>
      </c>
      <c r="H87">
        <f t="shared" si="1"/>
        <v>0.17082926632191239</v>
      </c>
    </row>
    <row r="88" spans="1:8" x14ac:dyDescent="0.25">
      <c r="A88">
        <v>1187636735</v>
      </c>
      <c r="B88" t="s">
        <v>7</v>
      </c>
      <c r="C88">
        <v>3.4353202353202199E-3</v>
      </c>
      <c r="D88">
        <v>1.0162687956847001</v>
      </c>
      <c r="E88">
        <v>0.33604161052204801</v>
      </c>
      <c r="F88">
        <v>10</v>
      </c>
      <c r="G88" t="str">
        <f>VLOOKUP(A88,[1]inrix_key!$A:$C,3,FALSE)</f>
        <v>WB_E</v>
      </c>
      <c r="H88">
        <f t="shared" si="1"/>
        <v>0.20611921411921319</v>
      </c>
    </row>
    <row r="89" spans="1:8" x14ac:dyDescent="0.25">
      <c r="A89">
        <v>428958433</v>
      </c>
      <c r="B89" t="s">
        <v>9</v>
      </c>
      <c r="C89">
        <v>3.4959531889678899E-3</v>
      </c>
      <c r="D89">
        <v>3.83150985349199</v>
      </c>
      <c r="E89">
        <v>1.12581017287114E-3</v>
      </c>
      <c r="F89">
        <v>20</v>
      </c>
      <c r="G89" t="str">
        <f>VLOOKUP(A89,[1]inrix_key!$A:$C,3,FALSE)</f>
        <v>EB_S</v>
      </c>
      <c r="H89">
        <f t="shared" si="1"/>
        <v>0.20975719133807338</v>
      </c>
    </row>
    <row r="90" spans="1:8" x14ac:dyDescent="0.25">
      <c r="A90">
        <v>1187334983</v>
      </c>
      <c r="B90" t="s">
        <v>6</v>
      </c>
      <c r="C90">
        <v>4.0477941176470496E-3</v>
      </c>
      <c r="D90">
        <v>0.75177531696111599</v>
      </c>
      <c r="E90">
        <v>0.46139800177383999</v>
      </c>
      <c r="F90">
        <v>20</v>
      </c>
      <c r="G90" t="str">
        <f>VLOOKUP(A90,[1]inrix_key!$A:$C,3,FALSE)</f>
        <v>Wainwright_N</v>
      </c>
      <c r="H90">
        <f t="shared" si="1"/>
        <v>0.24286764705882297</v>
      </c>
    </row>
    <row r="91" spans="1:8" x14ac:dyDescent="0.25">
      <c r="A91">
        <v>448697008</v>
      </c>
      <c r="B91" t="s">
        <v>6</v>
      </c>
      <c r="C91">
        <v>4.13786764705885E-3</v>
      </c>
      <c r="D91">
        <v>0.73724136154763598</v>
      </c>
      <c r="E91">
        <v>0.46998271005936698</v>
      </c>
      <c r="F91">
        <v>20</v>
      </c>
      <c r="G91" t="str">
        <f>VLOOKUP(A91,[1]inrix_key!$A:$C,3,FALSE)</f>
        <v>RiverValley_S</v>
      </c>
      <c r="H91">
        <f t="shared" si="1"/>
        <v>0.24827205882353101</v>
      </c>
    </row>
    <row r="92" spans="1:8" x14ac:dyDescent="0.25">
      <c r="A92">
        <v>428958433</v>
      </c>
      <c r="B92" t="s">
        <v>7</v>
      </c>
      <c r="C92">
        <v>4.3480394605394596E-3</v>
      </c>
      <c r="D92">
        <v>4.0504033156727397</v>
      </c>
      <c r="E92">
        <v>2.8831811385581999E-3</v>
      </c>
      <c r="F92">
        <v>10</v>
      </c>
      <c r="G92" t="str">
        <f>VLOOKUP(A92,[1]inrix_key!$A:$C,3,FALSE)</f>
        <v>EB_S</v>
      </c>
      <c r="H92">
        <f t="shared" si="1"/>
        <v>0.26088236763236755</v>
      </c>
    </row>
    <row r="93" spans="1:8" x14ac:dyDescent="0.25">
      <c r="A93">
        <v>1187334983</v>
      </c>
      <c r="B93" t="s">
        <v>9</v>
      </c>
      <c r="C93">
        <v>4.5605419090713299E-3</v>
      </c>
      <c r="D93">
        <v>0.74069490203507304</v>
      </c>
      <c r="E93">
        <v>0.46793422216418501</v>
      </c>
      <c r="F93">
        <v>20</v>
      </c>
      <c r="G93" t="str">
        <f>VLOOKUP(A93,[1]inrix_key!$A:$C,3,FALSE)</f>
        <v>Wainwright_N</v>
      </c>
      <c r="H93">
        <f t="shared" si="1"/>
        <v>0.27363251454427978</v>
      </c>
    </row>
    <row r="94" spans="1:8" x14ac:dyDescent="0.25">
      <c r="A94">
        <v>448697011</v>
      </c>
      <c r="B94" t="s">
        <v>6</v>
      </c>
      <c r="C94">
        <v>5.0459558823529402E-3</v>
      </c>
      <c r="D94">
        <v>1.1382653679605701</v>
      </c>
      <c r="E94">
        <v>0.26915962189399201</v>
      </c>
      <c r="F94">
        <v>20</v>
      </c>
      <c r="G94" t="str">
        <f>VLOOKUP(A94,[1]inrix_key!$A:$C,3,FALSE)</f>
        <v>Fairview_N</v>
      </c>
      <c r="H94">
        <f t="shared" si="1"/>
        <v>0.30275735294117639</v>
      </c>
    </row>
    <row r="95" spans="1:8" x14ac:dyDescent="0.25">
      <c r="A95">
        <v>384139881</v>
      </c>
      <c r="B95" t="s">
        <v>6</v>
      </c>
      <c r="C95">
        <v>5.8272058823528898E-3</v>
      </c>
      <c r="D95">
        <v>1.01997963105055</v>
      </c>
      <c r="E95">
        <v>0.32055081673300201</v>
      </c>
      <c r="F95">
        <v>20</v>
      </c>
      <c r="G95" t="str">
        <f>VLOOKUP(A95,[1]inrix_key!$A:$C,3,FALSE)</f>
        <v>Pine_W</v>
      </c>
      <c r="H95">
        <f t="shared" si="1"/>
        <v>0.3496323529411734</v>
      </c>
    </row>
    <row r="96" spans="1:8" x14ac:dyDescent="0.25">
      <c r="A96">
        <v>117772024</v>
      </c>
      <c r="B96" t="s">
        <v>9</v>
      </c>
      <c r="C96">
        <v>5.9150458013580197E-3</v>
      </c>
      <c r="D96">
        <v>0.34150749729970498</v>
      </c>
      <c r="E96">
        <v>0.73862727358205804</v>
      </c>
      <c r="F96">
        <v>13</v>
      </c>
      <c r="G96" t="str">
        <f>VLOOKUP(A96,[1]inrix_key!$A:$C,3,FALSE)</f>
        <v>IslandWood_W</v>
      </c>
      <c r="H96">
        <f t="shared" si="1"/>
        <v>0.3549027480814812</v>
      </c>
    </row>
    <row r="97" spans="1:8" x14ac:dyDescent="0.25">
      <c r="A97">
        <v>1187335042</v>
      </c>
      <c r="B97" t="s">
        <v>8</v>
      </c>
      <c r="C97">
        <v>6.98529411764706E-3</v>
      </c>
      <c r="D97">
        <v>0.22541229821974201</v>
      </c>
      <c r="E97">
        <v>0.82809807127389101</v>
      </c>
      <c r="F97">
        <v>8</v>
      </c>
      <c r="G97" t="str">
        <f>VLOOKUP(A97,[1]inrix_key!$A:$C,3,FALSE)</f>
        <v>Ustick_N</v>
      </c>
      <c r="H97">
        <f t="shared" si="1"/>
        <v>0.41911764705882359</v>
      </c>
    </row>
    <row r="98" spans="1:8" x14ac:dyDescent="0.25">
      <c r="A98">
        <v>448697006</v>
      </c>
      <c r="B98" t="s">
        <v>6</v>
      </c>
      <c r="C98">
        <v>7.2077205882352799E-3</v>
      </c>
      <c r="D98">
        <v>0.76338687985667097</v>
      </c>
      <c r="E98">
        <v>0.45460793601911198</v>
      </c>
      <c r="F98">
        <v>20</v>
      </c>
      <c r="G98" t="str">
        <f>VLOOKUP(A98,[1]inrix_key!$A:$C,3,FALSE)</f>
        <v>StLukes_N</v>
      </c>
      <c r="H98">
        <f t="shared" si="1"/>
        <v>0.43246323529411679</v>
      </c>
    </row>
    <row r="99" spans="1:8" x14ac:dyDescent="0.25">
      <c r="A99">
        <v>1187334983</v>
      </c>
      <c r="B99" t="s">
        <v>7</v>
      </c>
      <c r="C99">
        <v>7.4664529914529503E-3</v>
      </c>
      <c r="D99">
        <v>0.81056751599527999</v>
      </c>
      <c r="E99">
        <v>0.438521500455962</v>
      </c>
      <c r="F99">
        <v>10</v>
      </c>
      <c r="G99" t="str">
        <f>VLOOKUP(A99,[1]inrix_key!$A:$C,3,FALSE)</f>
        <v>Wainwright_N</v>
      </c>
      <c r="H99">
        <f t="shared" si="1"/>
        <v>0.44798717948717703</v>
      </c>
    </row>
    <row r="100" spans="1:8" x14ac:dyDescent="0.25">
      <c r="A100">
        <v>448694747</v>
      </c>
      <c r="B100" t="s">
        <v>7</v>
      </c>
      <c r="C100">
        <v>7.4807525807525903E-3</v>
      </c>
      <c r="D100">
        <v>0.301139777802579</v>
      </c>
      <c r="E100">
        <v>0.770149245947363</v>
      </c>
      <c r="F100">
        <v>10</v>
      </c>
      <c r="G100" t="str">
        <f>VLOOKUP(A100,[1]inrix_key!$A:$C,3,FALSE)</f>
        <v>Fairview_W</v>
      </c>
      <c r="H100">
        <f t="shared" si="1"/>
        <v>0.44884515484515541</v>
      </c>
    </row>
    <row r="101" spans="1:8" x14ac:dyDescent="0.25">
      <c r="A101">
        <v>1187654609</v>
      </c>
      <c r="B101" t="s">
        <v>7</v>
      </c>
      <c r="C101">
        <v>7.9000350140055603E-3</v>
      </c>
      <c r="D101">
        <v>1.1838164186963001</v>
      </c>
      <c r="E101">
        <v>0.266808760903324</v>
      </c>
      <c r="F101">
        <v>10</v>
      </c>
      <c r="G101" t="str">
        <f>VLOOKUP(A101,[1]inrix_key!$A:$C,3,FALSE)</f>
        <v>Pine_N</v>
      </c>
      <c r="H101">
        <f t="shared" si="1"/>
        <v>0.47400210084033362</v>
      </c>
    </row>
    <row r="102" spans="1:8" x14ac:dyDescent="0.25">
      <c r="A102">
        <v>1187548947</v>
      </c>
      <c r="B102" t="s">
        <v>9</v>
      </c>
      <c r="C102">
        <v>7.9522786037491706E-3</v>
      </c>
      <c r="D102">
        <v>1.6757918803471601</v>
      </c>
      <c r="E102">
        <v>0.110157697752489</v>
      </c>
      <c r="F102">
        <v>20</v>
      </c>
      <c r="G102" t="str">
        <f>VLOOKUP(A102,[1]inrix_key!$A:$C,3,FALSE)</f>
        <v>Fairview_S</v>
      </c>
      <c r="H102">
        <f t="shared" si="1"/>
        <v>0.47713671622495024</v>
      </c>
    </row>
    <row r="103" spans="1:8" x14ac:dyDescent="0.25">
      <c r="A103">
        <v>1187654609</v>
      </c>
      <c r="B103" t="s">
        <v>9</v>
      </c>
      <c r="C103">
        <v>8.1312499999999892E-3</v>
      </c>
      <c r="D103">
        <v>1.71040833598301</v>
      </c>
      <c r="E103">
        <v>0.10347003993290201</v>
      </c>
      <c r="F103">
        <v>20</v>
      </c>
      <c r="G103" t="str">
        <f>VLOOKUP(A103,[1]inrix_key!$A:$C,3,FALSE)</f>
        <v>Pine_N</v>
      </c>
      <c r="H103">
        <f t="shared" si="1"/>
        <v>0.48787499999999934</v>
      </c>
    </row>
    <row r="104" spans="1:8" x14ac:dyDescent="0.25">
      <c r="A104">
        <v>448697006</v>
      </c>
      <c r="B104" t="s">
        <v>9</v>
      </c>
      <c r="C104">
        <v>8.4446078431372595E-3</v>
      </c>
      <c r="D104">
        <v>1.2546980747837</v>
      </c>
      <c r="E104">
        <v>0.224803656248972</v>
      </c>
      <c r="F104">
        <v>20</v>
      </c>
      <c r="G104" t="str">
        <f>VLOOKUP(A104,[1]inrix_key!$A:$C,3,FALSE)</f>
        <v>StLukes_N</v>
      </c>
      <c r="H104">
        <f t="shared" si="1"/>
        <v>0.50667647058823562</v>
      </c>
    </row>
    <row r="105" spans="1:8" x14ac:dyDescent="0.25">
      <c r="A105">
        <v>1187636735</v>
      </c>
      <c r="B105" t="s">
        <v>6</v>
      </c>
      <c r="C105">
        <v>8.5257352941176499E-3</v>
      </c>
      <c r="D105">
        <v>0.79510685610794296</v>
      </c>
      <c r="E105">
        <v>0.43637192869379698</v>
      </c>
      <c r="F105">
        <v>20</v>
      </c>
      <c r="G105" t="str">
        <f>VLOOKUP(A105,[1]inrix_key!$A:$C,3,FALSE)</f>
        <v>WB_E</v>
      </c>
      <c r="H105">
        <f t="shared" si="1"/>
        <v>0.51154411764705898</v>
      </c>
    </row>
    <row r="106" spans="1:8" x14ac:dyDescent="0.25">
      <c r="A106">
        <v>117503882</v>
      </c>
      <c r="B106" t="s">
        <v>6</v>
      </c>
      <c r="C106">
        <v>8.6194852941176292E-3</v>
      </c>
      <c r="D106">
        <v>1.11721963372001</v>
      </c>
      <c r="E106">
        <v>0.27782939206802698</v>
      </c>
      <c r="F106">
        <v>20</v>
      </c>
      <c r="G106" t="str">
        <f>VLOOKUP(A106,[1]inrix_key!$A:$C,3,FALSE)</f>
        <v>Franklin_E</v>
      </c>
      <c r="H106">
        <f t="shared" si="1"/>
        <v>0.51716911764705775</v>
      </c>
    </row>
    <row r="107" spans="1:8" x14ac:dyDescent="0.25">
      <c r="A107">
        <v>474871675</v>
      </c>
      <c r="B107" t="s">
        <v>8</v>
      </c>
      <c r="C107">
        <v>8.8097426470587995E-3</v>
      </c>
      <c r="D107">
        <v>1.4103503743057499</v>
      </c>
      <c r="E107">
        <v>0.201291271975889</v>
      </c>
      <c r="F107">
        <v>8</v>
      </c>
      <c r="G107" t="str">
        <f>VLOOKUP(A107,[1]inrix_key!$A:$C,3,FALSE)</f>
        <v>McMillan_E</v>
      </c>
      <c r="H107">
        <f t="shared" si="1"/>
        <v>0.52858455882352795</v>
      </c>
    </row>
    <row r="108" spans="1:8" x14ac:dyDescent="0.25">
      <c r="A108">
        <v>119241469</v>
      </c>
      <c r="B108" t="s">
        <v>8</v>
      </c>
      <c r="C108">
        <v>8.9739583333333199E-3</v>
      </c>
      <c r="D108">
        <v>1.3490005996350301</v>
      </c>
      <c r="E108">
        <v>0.219342714362986</v>
      </c>
      <c r="F108">
        <v>8</v>
      </c>
      <c r="G108" t="str">
        <f>VLOOKUP(A108,[1]inrix_key!$A:$C,3,FALSE)</f>
        <v>Colchester_W</v>
      </c>
      <c r="H108">
        <f t="shared" si="1"/>
        <v>0.53843749999999924</v>
      </c>
    </row>
    <row r="109" spans="1:8" x14ac:dyDescent="0.25">
      <c r="A109">
        <v>1187636735</v>
      </c>
      <c r="B109" t="s">
        <v>9</v>
      </c>
      <c r="C109">
        <v>9.0183674168968098E-3</v>
      </c>
      <c r="D109">
        <v>1.9599255218307401</v>
      </c>
      <c r="E109">
        <v>6.4838280849743093E-2</v>
      </c>
      <c r="F109">
        <v>20</v>
      </c>
      <c r="G109" t="str">
        <f>VLOOKUP(A109,[1]inrix_key!$A:$C,3,FALSE)</f>
        <v>WB_E</v>
      </c>
      <c r="H109">
        <f t="shared" si="1"/>
        <v>0.54110204501380854</v>
      </c>
    </row>
    <row r="110" spans="1:8" x14ac:dyDescent="0.25">
      <c r="A110">
        <v>428958435</v>
      </c>
      <c r="B110" t="s">
        <v>8</v>
      </c>
      <c r="C110">
        <v>9.3612132352941108E-3</v>
      </c>
      <c r="D110">
        <v>0.39866585248342001</v>
      </c>
      <c r="E110">
        <v>0.70202042668313802</v>
      </c>
      <c r="F110">
        <v>8</v>
      </c>
      <c r="G110">
        <f>VLOOKUP(A110,[1]inrix_key!$A:$C,3,FALSE)</f>
        <v>0</v>
      </c>
      <c r="H110">
        <f t="shared" si="1"/>
        <v>0.5616727941176467</v>
      </c>
    </row>
    <row r="111" spans="1:8" x14ac:dyDescent="0.25">
      <c r="A111">
        <v>484371307</v>
      </c>
      <c r="B111" t="s">
        <v>8</v>
      </c>
      <c r="C111">
        <v>9.6093749999999895E-3</v>
      </c>
      <c r="D111">
        <v>2.8677300332874198</v>
      </c>
      <c r="E111">
        <v>2.4069999567792801E-2</v>
      </c>
      <c r="F111">
        <v>8</v>
      </c>
      <c r="G111" t="str">
        <f>VLOOKUP(A111,[1]inrix_key!$A:$C,3,FALSE)</f>
        <v>Pine_E</v>
      </c>
      <c r="H111">
        <f t="shared" si="1"/>
        <v>0.57656249999999942</v>
      </c>
    </row>
    <row r="112" spans="1:8" x14ac:dyDescent="0.25">
      <c r="A112">
        <v>484366819</v>
      </c>
      <c r="B112" t="s">
        <v>8</v>
      </c>
      <c r="C112">
        <v>1.0220588235294099E-2</v>
      </c>
      <c r="D112">
        <v>2.6612489940678001</v>
      </c>
      <c r="E112">
        <v>3.2408360232556499E-2</v>
      </c>
      <c r="F112">
        <v>8</v>
      </c>
      <c r="G112" t="str">
        <f>VLOOKUP(A112,[1]inrix_key!$A:$C,3,FALSE)</f>
        <v>Pine_E</v>
      </c>
      <c r="H112">
        <f t="shared" si="1"/>
        <v>0.61323529411764599</v>
      </c>
    </row>
    <row r="113" spans="1:8" x14ac:dyDescent="0.25">
      <c r="A113">
        <v>119241469</v>
      </c>
      <c r="B113" t="s">
        <v>9</v>
      </c>
      <c r="C113">
        <v>1.06444941613008E-2</v>
      </c>
      <c r="D113">
        <v>0.32321739397129301</v>
      </c>
      <c r="E113">
        <v>0.75167083782755195</v>
      </c>
      <c r="F113">
        <v>14</v>
      </c>
      <c r="G113" t="str">
        <f>VLOOKUP(A113,[1]inrix_key!$A:$C,3,FALSE)</f>
        <v>Colchester_W</v>
      </c>
      <c r="H113">
        <f t="shared" si="1"/>
        <v>0.63866964967804796</v>
      </c>
    </row>
    <row r="114" spans="1:8" x14ac:dyDescent="0.25">
      <c r="A114">
        <v>1187654588</v>
      </c>
      <c r="B114" t="s">
        <v>9</v>
      </c>
      <c r="C114">
        <v>1.0835416666666599E-2</v>
      </c>
      <c r="D114">
        <v>1.4925350025902699</v>
      </c>
      <c r="E114">
        <v>0.151978240974045</v>
      </c>
      <c r="F114">
        <v>20</v>
      </c>
      <c r="G114" t="str">
        <f>VLOOKUP(A114,[1]inrix_key!$A:$C,3,FALSE)</f>
        <v>Franklin_N</v>
      </c>
      <c r="H114">
        <f t="shared" si="1"/>
        <v>0.65012499999999596</v>
      </c>
    </row>
    <row r="115" spans="1:8" x14ac:dyDescent="0.25">
      <c r="A115">
        <v>448697007</v>
      </c>
      <c r="B115" t="s">
        <v>7</v>
      </c>
      <c r="C115">
        <v>1.10740196078431E-2</v>
      </c>
      <c r="D115">
        <v>2.7581585317986002</v>
      </c>
      <c r="E115">
        <v>2.21788537501874E-2</v>
      </c>
      <c r="F115">
        <v>10</v>
      </c>
      <c r="G115" t="str">
        <f>VLOOKUP(A115,[1]inrix_key!$A:$C,3,FALSE)</f>
        <v>WB_N</v>
      </c>
      <c r="H115">
        <f t="shared" si="1"/>
        <v>0.66444117647058598</v>
      </c>
    </row>
    <row r="116" spans="1:8" x14ac:dyDescent="0.25">
      <c r="A116">
        <v>448697011</v>
      </c>
      <c r="B116" t="s">
        <v>8</v>
      </c>
      <c r="C116">
        <v>1.1594669117647E-2</v>
      </c>
      <c r="D116">
        <v>1.6835579853026501</v>
      </c>
      <c r="E116">
        <v>0.13614222706930501</v>
      </c>
      <c r="F116">
        <v>8</v>
      </c>
      <c r="G116" t="str">
        <f>VLOOKUP(A116,[1]inrix_key!$A:$C,3,FALSE)</f>
        <v>Fairview_N</v>
      </c>
      <c r="H116">
        <f t="shared" si="1"/>
        <v>0.69568014705881998</v>
      </c>
    </row>
    <row r="117" spans="1:8" x14ac:dyDescent="0.25">
      <c r="A117">
        <v>448725595</v>
      </c>
      <c r="B117" t="s">
        <v>8</v>
      </c>
      <c r="C117">
        <v>1.2352941176470501E-2</v>
      </c>
      <c r="D117">
        <v>1.8947079124653701</v>
      </c>
      <c r="E117">
        <v>9.9980990691141303E-2</v>
      </c>
      <c r="F117">
        <v>8</v>
      </c>
      <c r="G117" t="str">
        <f>VLOOKUP(A117,[1]inrix_key!$A:$C,3,FALSE)</f>
        <v>StLukes_S</v>
      </c>
      <c r="H117">
        <f t="shared" si="1"/>
        <v>0.74117647058823</v>
      </c>
    </row>
    <row r="118" spans="1:8" x14ac:dyDescent="0.25">
      <c r="A118">
        <v>448697008</v>
      </c>
      <c r="B118" t="s">
        <v>9</v>
      </c>
      <c r="C118">
        <v>1.2742065369271201E-2</v>
      </c>
      <c r="D118">
        <v>2.2998940322575301</v>
      </c>
      <c r="E118">
        <v>3.2959739057907202E-2</v>
      </c>
      <c r="F118">
        <v>20</v>
      </c>
      <c r="G118" t="str">
        <f>VLOOKUP(A118,[1]inrix_key!$A:$C,3,FALSE)</f>
        <v>RiverValley_S</v>
      </c>
      <c r="H118">
        <f t="shared" si="1"/>
        <v>0.76452392215627207</v>
      </c>
    </row>
    <row r="119" spans="1:8" x14ac:dyDescent="0.25">
      <c r="A119">
        <v>448697010</v>
      </c>
      <c r="B119" t="s">
        <v>8</v>
      </c>
      <c r="C119">
        <v>1.29871323529411E-2</v>
      </c>
      <c r="D119">
        <v>1.3189529253365799</v>
      </c>
      <c r="E119">
        <v>0.22869292607722899</v>
      </c>
      <c r="F119">
        <v>8</v>
      </c>
      <c r="G119" t="str">
        <f>VLOOKUP(A119,[1]inrix_key!$A:$C,3,FALSE)</f>
        <v>RiverValley_N</v>
      </c>
      <c r="H119">
        <f t="shared" si="1"/>
        <v>0.77922794117646599</v>
      </c>
    </row>
    <row r="120" spans="1:8" x14ac:dyDescent="0.25">
      <c r="A120">
        <v>1187612015</v>
      </c>
      <c r="B120" t="s">
        <v>7</v>
      </c>
      <c r="C120">
        <v>1.3253277686365901E-2</v>
      </c>
      <c r="D120">
        <v>0.84513280815416403</v>
      </c>
      <c r="E120">
        <v>0.41993589257873698</v>
      </c>
      <c r="F120">
        <v>10</v>
      </c>
      <c r="G120" t="str">
        <f>VLOOKUP(A120,[1]inrix_key!$A:$C,3,FALSE)</f>
        <v>Chinden_W</v>
      </c>
      <c r="H120">
        <f t="shared" si="1"/>
        <v>0.79519666118195409</v>
      </c>
    </row>
    <row r="121" spans="1:8" x14ac:dyDescent="0.25">
      <c r="A121">
        <v>448725596</v>
      </c>
      <c r="B121" t="s">
        <v>8</v>
      </c>
      <c r="C121">
        <v>1.38281249999999E-2</v>
      </c>
      <c r="D121">
        <v>2.38327157771442</v>
      </c>
      <c r="E121">
        <v>4.8647565723192503E-2</v>
      </c>
      <c r="F121">
        <v>8</v>
      </c>
      <c r="G121" t="str">
        <f>VLOOKUP(A121,[1]inrix_key!$A:$C,3,FALSE)</f>
        <v>Franklin_S</v>
      </c>
      <c r="H121">
        <f t="shared" si="1"/>
        <v>0.82968749999999392</v>
      </c>
    </row>
    <row r="122" spans="1:8" x14ac:dyDescent="0.25">
      <c r="A122">
        <v>1187532837</v>
      </c>
      <c r="B122" t="s">
        <v>8</v>
      </c>
      <c r="C122">
        <v>1.43979779411764E-2</v>
      </c>
      <c r="D122">
        <v>1.99989107251063</v>
      </c>
      <c r="E122">
        <v>8.5633084000212301E-2</v>
      </c>
      <c r="F122">
        <v>8</v>
      </c>
      <c r="G122" t="str">
        <f>VLOOKUP(A122,[1]inrix_key!$A:$C,3,FALSE)</f>
        <v>HobbleCreek_N</v>
      </c>
      <c r="H122">
        <f t="shared" si="1"/>
        <v>0.86387867647058403</v>
      </c>
    </row>
    <row r="123" spans="1:8" x14ac:dyDescent="0.25">
      <c r="A123">
        <v>448725597</v>
      </c>
      <c r="B123" t="s">
        <v>6</v>
      </c>
      <c r="C123">
        <v>1.4419117647058799E-2</v>
      </c>
      <c r="D123">
        <v>1.90355729369364</v>
      </c>
      <c r="E123">
        <v>7.2227966448587894E-2</v>
      </c>
      <c r="F123">
        <v>20</v>
      </c>
      <c r="G123" t="str">
        <f>VLOOKUP(A123,[1]inrix_key!$A:$C,3,FALSE)</f>
        <v>Ustick_E</v>
      </c>
      <c r="H123">
        <f t="shared" si="1"/>
        <v>0.86514705882352794</v>
      </c>
    </row>
    <row r="124" spans="1:8" x14ac:dyDescent="0.25">
      <c r="A124">
        <v>1187377510</v>
      </c>
      <c r="B124" t="s">
        <v>9</v>
      </c>
      <c r="C124">
        <v>1.56235994397759E-2</v>
      </c>
      <c r="D124">
        <v>3.7079625827195901</v>
      </c>
      <c r="E124">
        <v>1.4924063946676299E-3</v>
      </c>
      <c r="F124">
        <v>20</v>
      </c>
      <c r="G124" t="str">
        <f>VLOOKUP(A124,[1]inrix_key!$A:$C,3,FALSE)</f>
        <v>EB_S</v>
      </c>
      <c r="H124">
        <f t="shared" si="1"/>
        <v>0.937415966386554</v>
      </c>
    </row>
    <row r="125" spans="1:8" x14ac:dyDescent="0.25">
      <c r="A125">
        <v>448695754</v>
      </c>
      <c r="B125" t="s">
        <v>6</v>
      </c>
      <c r="C125">
        <v>1.56488970588235E-2</v>
      </c>
      <c r="D125">
        <v>1.6774105628334499</v>
      </c>
      <c r="E125">
        <v>0.109836943863342</v>
      </c>
      <c r="F125">
        <v>20</v>
      </c>
      <c r="G125" t="str">
        <f>VLOOKUP(A125,[1]inrix_key!$A:$C,3,FALSE)</f>
        <v>State_S</v>
      </c>
      <c r="H125">
        <f t="shared" si="1"/>
        <v>0.93893382352941002</v>
      </c>
    </row>
    <row r="126" spans="1:8" x14ac:dyDescent="0.25">
      <c r="A126">
        <v>428958434</v>
      </c>
      <c r="B126" t="s">
        <v>9</v>
      </c>
      <c r="C126">
        <v>1.6202224123915299E-2</v>
      </c>
      <c r="D126">
        <v>1.9596302489584201</v>
      </c>
      <c r="E126">
        <v>6.4875169109991804E-2</v>
      </c>
      <c r="F126">
        <v>20</v>
      </c>
      <c r="G126">
        <f>VLOOKUP(A126,[1]inrix_key!$A:$C,3,FALSE)</f>
        <v>0</v>
      </c>
      <c r="H126">
        <f t="shared" si="1"/>
        <v>0.97213344743491792</v>
      </c>
    </row>
    <row r="127" spans="1:8" x14ac:dyDescent="0.25">
      <c r="A127">
        <v>119269713</v>
      </c>
      <c r="B127" t="s">
        <v>8</v>
      </c>
      <c r="C127">
        <v>1.6342480742296901E-2</v>
      </c>
      <c r="D127">
        <v>1.46634962326639</v>
      </c>
      <c r="E127">
        <v>0.18598355039328399</v>
      </c>
      <c r="F127">
        <v>8</v>
      </c>
      <c r="G127" t="str">
        <f>VLOOKUP(A127,[1]inrix_key!$A:$C,3,FALSE)</f>
        <v>Colchester_E</v>
      </c>
      <c r="H127">
        <f t="shared" si="1"/>
        <v>0.98054884453781399</v>
      </c>
    </row>
    <row r="128" spans="1:8" x14ac:dyDescent="0.25">
      <c r="A128">
        <v>448695751</v>
      </c>
      <c r="B128" t="s">
        <v>9</v>
      </c>
      <c r="C128">
        <v>1.68194709702062E-2</v>
      </c>
      <c r="D128">
        <v>3.2664647702729099</v>
      </c>
      <c r="E128">
        <v>4.0605873308209696E-3</v>
      </c>
      <c r="F128">
        <v>20</v>
      </c>
      <c r="G128" t="str">
        <f>VLOOKUP(A128,[1]inrix_key!$A:$C,3,FALSE)</f>
        <v>Riverside_N</v>
      </c>
      <c r="H128">
        <f t="shared" si="1"/>
        <v>1.009168258212372</v>
      </c>
    </row>
    <row r="129" spans="1:8" x14ac:dyDescent="0.25">
      <c r="A129">
        <v>448697009</v>
      </c>
      <c r="B129" t="s">
        <v>9</v>
      </c>
      <c r="C129">
        <v>1.75492030844971E-2</v>
      </c>
      <c r="D129">
        <v>2.3232427369214101</v>
      </c>
      <c r="E129">
        <v>3.1417133196200799E-2</v>
      </c>
      <c r="F129">
        <v>20</v>
      </c>
      <c r="G129" t="str">
        <f>VLOOKUP(A129,[1]inrix_key!$A:$C,3,FALSE)</f>
        <v>Ustick_S</v>
      </c>
      <c r="H129">
        <f t="shared" si="1"/>
        <v>1.052952185069826</v>
      </c>
    </row>
    <row r="130" spans="1:8" x14ac:dyDescent="0.25">
      <c r="A130">
        <v>1187549053</v>
      </c>
      <c r="B130" t="s">
        <v>7</v>
      </c>
      <c r="C130">
        <v>1.7737761013496299E-2</v>
      </c>
      <c r="D130">
        <v>3.3956387929963401</v>
      </c>
      <c r="E130">
        <v>7.9279256670594794E-3</v>
      </c>
      <c r="F130">
        <v>10</v>
      </c>
      <c r="G130" t="str">
        <f>VLOOKUP(A130,[1]inrix_key!$A:$C,3,FALSE)</f>
        <v>HobbleCreek_S</v>
      </c>
      <c r="H130">
        <f t="shared" ref="H130:H193" si="2">60*C130</f>
        <v>1.064265660809778</v>
      </c>
    </row>
    <row r="131" spans="1:8" x14ac:dyDescent="0.25">
      <c r="A131">
        <v>1187548987</v>
      </c>
      <c r="B131" t="s">
        <v>7</v>
      </c>
      <c r="C131">
        <v>1.7770583583083598E-2</v>
      </c>
      <c r="D131">
        <v>3.70251489288172</v>
      </c>
      <c r="E131">
        <v>4.9014385658501698E-3</v>
      </c>
      <c r="F131">
        <v>10</v>
      </c>
      <c r="G131" t="str">
        <f>VLOOKUP(A131,[1]inrix_key!$A:$C,3,FALSE)</f>
        <v>McMillan_S</v>
      </c>
      <c r="H131">
        <f t="shared" si="2"/>
        <v>1.0662350149850159</v>
      </c>
    </row>
    <row r="132" spans="1:8" x14ac:dyDescent="0.25">
      <c r="A132">
        <v>448697010</v>
      </c>
      <c r="B132" t="s">
        <v>9</v>
      </c>
      <c r="C132">
        <v>1.94664821697909E-2</v>
      </c>
      <c r="D132">
        <v>3.6998811991554699</v>
      </c>
      <c r="E132">
        <v>1.5201556148300699E-3</v>
      </c>
      <c r="F132">
        <v>20</v>
      </c>
      <c r="G132" t="str">
        <f>VLOOKUP(A132,[1]inrix_key!$A:$C,3,FALSE)</f>
        <v>RiverValley_N</v>
      </c>
      <c r="H132">
        <f t="shared" si="2"/>
        <v>1.167988930187454</v>
      </c>
    </row>
    <row r="133" spans="1:8" x14ac:dyDescent="0.25">
      <c r="A133">
        <v>1187654588</v>
      </c>
      <c r="B133" t="s">
        <v>7</v>
      </c>
      <c r="C133">
        <v>2.0157598039215598E-2</v>
      </c>
      <c r="D133">
        <v>2.1353245086101702</v>
      </c>
      <c r="E133">
        <v>6.1486946960117299E-2</v>
      </c>
      <c r="F133">
        <v>10</v>
      </c>
      <c r="G133" t="str">
        <f>VLOOKUP(A133,[1]inrix_key!$A:$C,3,FALSE)</f>
        <v>Franklin_N</v>
      </c>
      <c r="H133">
        <f t="shared" si="2"/>
        <v>1.209455882352936</v>
      </c>
    </row>
    <row r="134" spans="1:8" x14ac:dyDescent="0.25">
      <c r="A134">
        <v>1187333665</v>
      </c>
      <c r="B134" t="s">
        <v>9</v>
      </c>
      <c r="C134">
        <v>2.12691781257957E-2</v>
      </c>
      <c r="D134">
        <v>1.1585864515895901</v>
      </c>
      <c r="E134">
        <v>0.26098032046492697</v>
      </c>
      <c r="F134">
        <v>20</v>
      </c>
      <c r="G134" t="str">
        <f>VLOOKUP(A134,[1]inrix_key!$A:$C,3,FALSE)</f>
        <v>Chinden_N</v>
      </c>
      <c r="H134">
        <f t="shared" si="2"/>
        <v>1.276150687547742</v>
      </c>
    </row>
    <row r="135" spans="1:8" x14ac:dyDescent="0.25">
      <c r="A135">
        <v>448694747</v>
      </c>
      <c r="B135" t="s">
        <v>8</v>
      </c>
      <c r="C135">
        <v>2.2853860294117598E-2</v>
      </c>
      <c r="D135">
        <v>2.1333145873802701</v>
      </c>
      <c r="E135">
        <v>7.03251473242619E-2</v>
      </c>
      <c r="F135">
        <v>8</v>
      </c>
      <c r="G135" t="str">
        <f>VLOOKUP(A135,[1]inrix_key!$A:$C,3,FALSE)</f>
        <v>Fairview_W</v>
      </c>
      <c r="H135">
        <f t="shared" si="2"/>
        <v>1.3712316176470558</v>
      </c>
    </row>
    <row r="136" spans="1:8" x14ac:dyDescent="0.25">
      <c r="A136">
        <v>1187548947</v>
      </c>
      <c r="B136" t="s">
        <v>7</v>
      </c>
      <c r="C136">
        <v>2.2981058892088201E-2</v>
      </c>
      <c r="D136">
        <v>3.4127155489515602</v>
      </c>
      <c r="E136">
        <v>7.7163731815742898E-3</v>
      </c>
      <c r="F136">
        <v>10</v>
      </c>
      <c r="G136" t="str">
        <f>VLOOKUP(A136,[1]inrix_key!$A:$C,3,FALSE)</f>
        <v>Fairview_S</v>
      </c>
      <c r="H136">
        <f t="shared" si="2"/>
        <v>1.3788635335252921</v>
      </c>
    </row>
    <row r="137" spans="1:8" x14ac:dyDescent="0.25">
      <c r="A137">
        <v>448725599</v>
      </c>
      <c r="B137" t="s">
        <v>6</v>
      </c>
      <c r="C137">
        <v>2.4487132352941199E-2</v>
      </c>
      <c r="D137">
        <v>1.81956120571126</v>
      </c>
      <c r="E137">
        <v>8.4620302527234403E-2</v>
      </c>
      <c r="F137">
        <v>20</v>
      </c>
      <c r="G137" t="str">
        <f>VLOOKUP(A137,[1]inrix_key!$A:$C,3,FALSE)</f>
        <v>Chinden_S</v>
      </c>
      <c r="H137">
        <f t="shared" si="2"/>
        <v>1.4692279411764719</v>
      </c>
    </row>
    <row r="138" spans="1:8" x14ac:dyDescent="0.25">
      <c r="A138">
        <v>1187517040</v>
      </c>
      <c r="B138" t="s">
        <v>9</v>
      </c>
      <c r="C138">
        <v>2.45147058823529E-2</v>
      </c>
      <c r="D138">
        <v>6.2648223441713702</v>
      </c>
      <c r="E138" s="1">
        <v>5.1408505676008904E-6</v>
      </c>
      <c r="F138">
        <v>20</v>
      </c>
      <c r="G138" t="str">
        <f>VLOOKUP(A138,[1]inrix_key!$A:$C,3,FALSE)</f>
        <v>Wainwright_S</v>
      </c>
      <c r="H138">
        <f t="shared" si="2"/>
        <v>1.4708823529411741</v>
      </c>
    </row>
    <row r="139" spans="1:8" x14ac:dyDescent="0.25">
      <c r="A139">
        <v>1187466917</v>
      </c>
      <c r="B139" t="s">
        <v>9</v>
      </c>
      <c r="C139">
        <v>2.45543457767722E-2</v>
      </c>
      <c r="D139">
        <v>3.7468644902164598</v>
      </c>
      <c r="E139">
        <v>1.3657119274959001E-3</v>
      </c>
      <c r="F139">
        <v>20</v>
      </c>
      <c r="G139" t="str">
        <f>VLOOKUP(A139,[1]inrix_key!$A:$C,3,FALSE)</f>
        <v>Colchester_S</v>
      </c>
      <c r="H139">
        <f t="shared" si="2"/>
        <v>1.4732607466063321</v>
      </c>
    </row>
    <row r="140" spans="1:8" x14ac:dyDescent="0.25">
      <c r="A140">
        <v>117772024</v>
      </c>
      <c r="B140" t="s">
        <v>8</v>
      </c>
      <c r="C140">
        <v>2.5083632972419698E-2</v>
      </c>
      <c r="D140">
        <v>4.1452791121699004</v>
      </c>
      <c r="E140">
        <v>4.3205295818059897E-3</v>
      </c>
      <c r="F140">
        <v>8</v>
      </c>
      <c r="G140" t="str">
        <f>VLOOKUP(A140,[1]inrix_key!$A:$C,3,FALSE)</f>
        <v>IslandWood_W</v>
      </c>
      <c r="H140">
        <f t="shared" si="2"/>
        <v>1.5050179783451818</v>
      </c>
    </row>
    <row r="141" spans="1:8" x14ac:dyDescent="0.25">
      <c r="A141">
        <v>1187579027</v>
      </c>
      <c r="B141" t="s">
        <v>6</v>
      </c>
      <c r="C141">
        <v>2.60900735294117E-2</v>
      </c>
      <c r="D141">
        <v>6.8240221393632101</v>
      </c>
      <c r="E141" s="1">
        <v>1.63188200008707E-6</v>
      </c>
      <c r="F141">
        <v>20</v>
      </c>
      <c r="G141" t="str">
        <f>VLOOKUP(A141,[1]inrix_key!$A:$C,3,FALSE)</f>
        <v>Fairview_E</v>
      </c>
      <c r="H141">
        <f t="shared" si="2"/>
        <v>1.5654044117647019</v>
      </c>
    </row>
    <row r="142" spans="1:8" x14ac:dyDescent="0.25">
      <c r="A142">
        <v>448695754</v>
      </c>
      <c r="B142" t="s">
        <v>8</v>
      </c>
      <c r="C142">
        <v>2.6102941176470499E-2</v>
      </c>
      <c r="D142">
        <v>1.84123767677425</v>
      </c>
      <c r="E142">
        <v>0.108148457885934</v>
      </c>
      <c r="F142">
        <v>8</v>
      </c>
      <c r="G142" t="str">
        <f>VLOOKUP(A142,[1]inrix_key!$A:$C,3,FALSE)</f>
        <v>State_S</v>
      </c>
      <c r="H142">
        <f t="shared" si="2"/>
        <v>1.56617647058823</v>
      </c>
    </row>
    <row r="143" spans="1:8" x14ac:dyDescent="0.25">
      <c r="A143">
        <v>1187532837</v>
      </c>
      <c r="B143" t="s">
        <v>9</v>
      </c>
      <c r="C143">
        <v>2.7313682518461901E-2</v>
      </c>
      <c r="D143">
        <v>4.7107100672529496</v>
      </c>
      <c r="E143">
        <v>1.52199211402088E-4</v>
      </c>
      <c r="F143">
        <v>20</v>
      </c>
      <c r="G143" t="str">
        <f>VLOOKUP(A143,[1]inrix_key!$A:$C,3,FALSE)</f>
        <v>HobbleCreek_N</v>
      </c>
      <c r="H143">
        <f t="shared" si="2"/>
        <v>1.6388209511077141</v>
      </c>
    </row>
    <row r="144" spans="1:8" x14ac:dyDescent="0.25">
      <c r="A144">
        <v>117772024</v>
      </c>
      <c r="B144" t="s">
        <v>6</v>
      </c>
      <c r="C144">
        <v>2.8743829944565199E-2</v>
      </c>
      <c r="D144">
        <v>4.9665023771926498</v>
      </c>
      <c r="E144" s="1">
        <v>8.5678393007169697E-5</v>
      </c>
      <c r="F144">
        <v>20</v>
      </c>
      <c r="G144" t="str">
        <f>VLOOKUP(A144,[1]inrix_key!$A:$C,3,FALSE)</f>
        <v>IslandWood_W</v>
      </c>
      <c r="H144">
        <f t="shared" si="2"/>
        <v>1.7246297966739119</v>
      </c>
    </row>
    <row r="145" spans="1:8" x14ac:dyDescent="0.25">
      <c r="A145">
        <v>448695752</v>
      </c>
      <c r="B145" t="s">
        <v>7</v>
      </c>
      <c r="C145">
        <v>2.9145490620490599E-2</v>
      </c>
      <c r="D145">
        <v>2.6056427254607502</v>
      </c>
      <c r="E145">
        <v>2.8473498287664101E-2</v>
      </c>
      <c r="F145">
        <v>10</v>
      </c>
      <c r="G145" t="str">
        <f>VLOOKUP(A145,[1]inrix_key!$A:$C,3,FALSE)</f>
        <v>IslandWood_N</v>
      </c>
      <c r="H145">
        <f t="shared" si="2"/>
        <v>1.748729437229436</v>
      </c>
    </row>
    <row r="146" spans="1:8" x14ac:dyDescent="0.25">
      <c r="A146">
        <v>448694747</v>
      </c>
      <c r="B146" t="s">
        <v>6</v>
      </c>
      <c r="C146">
        <v>2.9737132352941099E-2</v>
      </c>
      <c r="D146">
        <v>5.4822384778901796</v>
      </c>
      <c r="E146" s="1">
        <v>2.7391931044484001E-5</v>
      </c>
      <c r="F146">
        <v>20</v>
      </c>
      <c r="G146" t="str">
        <f>VLOOKUP(A146,[1]inrix_key!$A:$C,3,FALSE)</f>
        <v>Fairview_W</v>
      </c>
      <c r="H146">
        <f t="shared" si="2"/>
        <v>1.7842279411764659</v>
      </c>
    </row>
    <row r="147" spans="1:8" x14ac:dyDescent="0.25">
      <c r="A147">
        <v>448725599</v>
      </c>
      <c r="B147" t="s">
        <v>7</v>
      </c>
      <c r="C147">
        <v>2.9837987012987E-2</v>
      </c>
      <c r="D147">
        <v>8.7766196852307097</v>
      </c>
      <c r="E147" s="1">
        <v>1.0482053508362801E-5</v>
      </c>
      <c r="F147">
        <v>10</v>
      </c>
      <c r="G147" t="str">
        <f>VLOOKUP(A147,[1]inrix_key!$A:$C,3,FALSE)</f>
        <v>Chinden_S</v>
      </c>
      <c r="H147">
        <f t="shared" si="2"/>
        <v>1.79027922077922</v>
      </c>
    </row>
    <row r="148" spans="1:8" x14ac:dyDescent="0.25">
      <c r="A148">
        <v>448725597</v>
      </c>
      <c r="B148" t="s">
        <v>8</v>
      </c>
      <c r="C148">
        <v>2.99172794117646E-2</v>
      </c>
      <c r="D148">
        <v>1.67650027917485</v>
      </c>
      <c r="E148">
        <v>0.137543912024229</v>
      </c>
      <c r="F148">
        <v>8</v>
      </c>
      <c r="G148" t="str">
        <f>VLOOKUP(A148,[1]inrix_key!$A:$C,3,FALSE)</f>
        <v>Ustick_E</v>
      </c>
      <c r="H148">
        <f t="shared" si="2"/>
        <v>1.795036764705876</v>
      </c>
    </row>
    <row r="149" spans="1:8" x14ac:dyDescent="0.25">
      <c r="A149">
        <v>384121516</v>
      </c>
      <c r="B149" t="s">
        <v>7</v>
      </c>
      <c r="C149">
        <v>3.0360119047619E-2</v>
      </c>
      <c r="D149">
        <v>1.8594269279075299</v>
      </c>
      <c r="E149">
        <v>0.105300024909181</v>
      </c>
      <c r="F149">
        <v>8</v>
      </c>
      <c r="G149" t="str">
        <f>VLOOKUP(A149,[1]inrix_key!$A:$C,3,FALSE)</f>
        <v>McMillan_W</v>
      </c>
      <c r="H149">
        <f t="shared" si="2"/>
        <v>1.8216071428571401</v>
      </c>
    </row>
    <row r="150" spans="1:8" x14ac:dyDescent="0.25">
      <c r="A150">
        <v>1187532837</v>
      </c>
      <c r="B150" t="s">
        <v>7</v>
      </c>
      <c r="C150">
        <v>3.0396051171051101E-2</v>
      </c>
      <c r="D150">
        <v>4.2641753075976103</v>
      </c>
      <c r="E150">
        <v>2.0982143191892099E-3</v>
      </c>
      <c r="F150">
        <v>10</v>
      </c>
      <c r="G150" t="str">
        <f>VLOOKUP(A150,[1]inrix_key!$A:$C,3,FALSE)</f>
        <v>HobbleCreek_N</v>
      </c>
      <c r="H150">
        <f t="shared" si="2"/>
        <v>1.8237630702630661</v>
      </c>
    </row>
    <row r="151" spans="1:8" x14ac:dyDescent="0.25">
      <c r="A151">
        <v>448725595</v>
      </c>
      <c r="B151" t="s">
        <v>6</v>
      </c>
      <c r="C151">
        <v>3.0571691176470499E-2</v>
      </c>
      <c r="D151">
        <v>5.4631023444922402</v>
      </c>
      <c r="E151" s="1">
        <v>2.8561738784137798E-5</v>
      </c>
      <c r="F151">
        <v>20</v>
      </c>
      <c r="G151" t="str">
        <f>VLOOKUP(A151,[1]inrix_key!$A:$C,3,FALSE)</f>
        <v>StLukes_S</v>
      </c>
      <c r="H151">
        <f t="shared" si="2"/>
        <v>1.8343014705882299</v>
      </c>
    </row>
    <row r="152" spans="1:8" x14ac:dyDescent="0.25">
      <c r="A152">
        <v>1187377510</v>
      </c>
      <c r="B152" t="s">
        <v>7</v>
      </c>
      <c r="C152">
        <v>3.0997150072149999E-2</v>
      </c>
      <c r="D152">
        <v>6.0797830924255702</v>
      </c>
      <c r="E152">
        <v>1.83700678179587E-4</v>
      </c>
      <c r="F152">
        <v>10</v>
      </c>
      <c r="G152" t="str">
        <f>VLOOKUP(A152,[1]inrix_key!$A:$C,3,FALSE)</f>
        <v>EB_S</v>
      </c>
      <c r="H152">
        <f t="shared" si="2"/>
        <v>1.859829004329</v>
      </c>
    </row>
    <row r="153" spans="1:8" x14ac:dyDescent="0.25">
      <c r="A153">
        <v>448697008</v>
      </c>
      <c r="B153" t="s">
        <v>7</v>
      </c>
      <c r="C153">
        <v>3.1594928355957799E-2</v>
      </c>
      <c r="D153">
        <v>4.7704447301231596</v>
      </c>
      <c r="E153">
        <v>1.01473516448199E-3</v>
      </c>
      <c r="F153">
        <v>10</v>
      </c>
      <c r="G153" t="str">
        <f>VLOOKUP(A153,[1]inrix_key!$A:$C,3,FALSE)</f>
        <v>RiverValley_S</v>
      </c>
      <c r="H153">
        <f t="shared" si="2"/>
        <v>1.895695701357468</v>
      </c>
    </row>
    <row r="154" spans="1:8" x14ac:dyDescent="0.25">
      <c r="A154">
        <v>448725599</v>
      </c>
      <c r="B154" t="s">
        <v>9</v>
      </c>
      <c r="C154">
        <v>3.2579623685138302E-2</v>
      </c>
      <c r="D154">
        <v>2.8345226143339701</v>
      </c>
      <c r="E154">
        <v>1.05948302222815E-2</v>
      </c>
      <c r="F154">
        <v>20</v>
      </c>
      <c r="G154" t="str">
        <f>VLOOKUP(A154,[1]inrix_key!$A:$C,3,FALSE)</f>
        <v>Chinden_S</v>
      </c>
      <c r="H154">
        <f t="shared" si="2"/>
        <v>1.9547774211082982</v>
      </c>
    </row>
    <row r="155" spans="1:8" x14ac:dyDescent="0.25">
      <c r="A155">
        <v>119241469</v>
      </c>
      <c r="B155" t="s">
        <v>6</v>
      </c>
      <c r="C155">
        <v>3.3032238472312E-2</v>
      </c>
      <c r="D155">
        <v>3.7751629924394599</v>
      </c>
      <c r="E155">
        <v>1.2803249842151499E-3</v>
      </c>
      <c r="F155">
        <v>20</v>
      </c>
      <c r="G155" t="str">
        <f>VLOOKUP(A155,[1]inrix_key!$A:$C,3,FALSE)</f>
        <v>Colchester_W</v>
      </c>
      <c r="H155">
        <f t="shared" si="2"/>
        <v>1.98193430833872</v>
      </c>
    </row>
    <row r="156" spans="1:8" x14ac:dyDescent="0.25">
      <c r="A156">
        <v>448694757</v>
      </c>
      <c r="B156" t="s">
        <v>8</v>
      </c>
      <c r="C156">
        <v>3.3115808823529401E-2</v>
      </c>
      <c r="D156">
        <v>3.0890462176048299</v>
      </c>
      <c r="E156">
        <v>1.7590524598434999E-2</v>
      </c>
      <c r="F156">
        <v>8</v>
      </c>
      <c r="G156" t="str">
        <f>VLOOKUP(A156,[1]inrix_key!$A:$C,3,FALSE)</f>
        <v>Ustick_W</v>
      </c>
      <c r="H156">
        <f t="shared" si="2"/>
        <v>1.9869485294117641</v>
      </c>
    </row>
    <row r="157" spans="1:8" x14ac:dyDescent="0.25">
      <c r="A157">
        <v>448725597</v>
      </c>
      <c r="B157" t="s">
        <v>9</v>
      </c>
      <c r="C157">
        <v>3.3317733369571598E-2</v>
      </c>
      <c r="D157">
        <v>4.1256102389648701</v>
      </c>
      <c r="E157">
        <v>5.7511571607420499E-4</v>
      </c>
      <c r="F157">
        <v>20</v>
      </c>
      <c r="G157" t="str">
        <f>VLOOKUP(A157,[1]inrix_key!$A:$C,3,FALSE)</f>
        <v>Ustick_E</v>
      </c>
      <c r="H157">
        <f t="shared" si="2"/>
        <v>1.9990640021742958</v>
      </c>
    </row>
    <row r="158" spans="1:8" x14ac:dyDescent="0.25">
      <c r="A158">
        <v>448697011</v>
      </c>
      <c r="B158" t="s">
        <v>9</v>
      </c>
      <c r="C158">
        <v>3.3331136877828002E-2</v>
      </c>
      <c r="D158">
        <v>5.4592776236013503</v>
      </c>
      <c r="E158" s="1">
        <v>2.8801610371187801E-5</v>
      </c>
      <c r="F158">
        <v>20</v>
      </c>
      <c r="G158" t="str">
        <f>VLOOKUP(A158,[1]inrix_key!$A:$C,3,FALSE)</f>
        <v>Fairview_N</v>
      </c>
      <c r="H158">
        <f t="shared" si="2"/>
        <v>1.9998682126696801</v>
      </c>
    </row>
    <row r="159" spans="1:8" x14ac:dyDescent="0.25">
      <c r="A159">
        <v>119241469</v>
      </c>
      <c r="B159" t="s">
        <v>7</v>
      </c>
      <c r="C159">
        <v>3.4999999999999899E-2</v>
      </c>
      <c r="F159">
        <v>1</v>
      </c>
      <c r="G159" t="str">
        <f>VLOOKUP(A159,[1]inrix_key!$A:$C,3,FALSE)</f>
        <v>Colchester_W</v>
      </c>
      <c r="H159">
        <f t="shared" si="2"/>
        <v>2.0999999999999939</v>
      </c>
    </row>
    <row r="160" spans="1:8" x14ac:dyDescent="0.25">
      <c r="A160">
        <v>1187466896</v>
      </c>
      <c r="B160" t="s">
        <v>9</v>
      </c>
      <c r="C160">
        <v>3.5970244298185503E-2</v>
      </c>
      <c r="D160">
        <v>3.9302435724402001</v>
      </c>
      <c r="E160">
        <v>8.9854471490962199E-4</v>
      </c>
      <c r="F160">
        <v>20</v>
      </c>
      <c r="G160" t="str">
        <f>VLOOKUP(A160,[1]inrix_key!$A:$C,3,FALSE)</f>
        <v>IslandWood_S</v>
      </c>
      <c r="H160">
        <f t="shared" si="2"/>
        <v>2.1582146578911301</v>
      </c>
    </row>
    <row r="161" spans="1:8" x14ac:dyDescent="0.25">
      <c r="A161">
        <v>1187333605</v>
      </c>
      <c r="B161" t="s">
        <v>7</v>
      </c>
      <c r="C161">
        <v>3.59724386724386E-2</v>
      </c>
      <c r="D161">
        <v>1.68085290943105</v>
      </c>
      <c r="E161">
        <v>0.12709095178208399</v>
      </c>
      <c r="F161">
        <v>10</v>
      </c>
      <c r="G161" t="str">
        <f>VLOOKUP(A161,[1]inrix_key!$A:$C,3,FALSE)</f>
        <v>Colchester_N</v>
      </c>
      <c r="H161">
        <f t="shared" si="2"/>
        <v>2.158346320346316</v>
      </c>
    </row>
    <row r="162" spans="1:8" x14ac:dyDescent="0.25">
      <c r="A162">
        <v>1187333605</v>
      </c>
      <c r="B162" t="s">
        <v>9</v>
      </c>
      <c r="C162">
        <v>3.6874711930226602E-2</v>
      </c>
      <c r="D162">
        <v>3.6711149633871201</v>
      </c>
      <c r="E162">
        <v>1.6231528578174901E-3</v>
      </c>
      <c r="F162">
        <v>20</v>
      </c>
      <c r="G162" t="str">
        <f>VLOOKUP(A162,[1]inrix_key!$A:$C,3,FALSE)</f>
        <v>Colchester_N</v>
      </c>
      <c r="H162">
        <f t="shared" si="2"/>
        <v>2.212482715813596</v>
      </c>
    </row>
    <row r="163" spans="1:8" x14ac:dyDescent="0.25">
      <c r="A163">
        <v>448697006</v>
      </c>
      <c r="B163" t="s">
        <v>7</v>
      </c>
      <c r="C163">
        <v>3.7634033613445299E-2</v>
      </c>
      <c r="D163">
        <v>5.4606048598817098</v>
      </c>
      <c r="E163">
        <v>4.0011179048929298E-4</v>
      </c>
      <c r="F163">
        <v>10</v>
      </c>
      <c r="G163" t="str">
        <f>VLOOKUP(A163,[1]inrix_key!$A:$C,3,FALSE)</f>
        <v>StLukes_N</v>
      </c>
      <c r="H163">
        <f t="shared" si="2"/>
        <v>2.2580420168067179</v>
      </c>
    </row>
    <row r="164" spans="1:8" x14ac:dyDescent="0.25">
      <c r="A164">
        <v>1187517040</v>
      </c>
      <c r="B164" t="s">
        <v>7</v>
      </c>
      <c r="C164">
        <v>3.7959713815596097E-2</v>
      </c>
      <c r="D164">
        <v>10.165856873773301</v>
      </c>
      <c r="E164" s="1">
        <v>3.1198449605069998E-6</v>
      </c>
      <c r="F164">
        <v>10</v>
      </c>
      <c r="G164" t="str">
        <f>VLOOKUP(A164,[1]inrix_key!$A:$C,3,FALSE)</f>
        <v>Wainwright_S</v>
      </c>
      <c r="H164">
        <f t="shared" si="2"/>
        <v>2.277582828935766</v>
      </c>
    </row>
    <row r="165" spans="1:8" x14ac:dyDescent="0.25">
      <c r="A165">
        <v>448695753</v>
      </c>
      <c r="B165" t="s">
        <v>7</v>
      </c>
      <c r="C165">
        <v>3.8679732685614997E-2</v>
      </c>
      <c r="D165">
        <v>5.9947801353813599</v>
      </c>
      <c r="E165">
        <v>2.03800157796628E-4</v>
      </c>
      <c r="F165">
        <v>10</v>
      </c>
      <c r="G165" t="str">
        <f>VLOOKUP(A165,[1]inrix_key!$A:$C,3,FALSE)</f>
        <v>Riverside_S</v>
      </c>
      <c r="H165">
        <f t="shared" si="2"/>
        <v>2.3207839611368999</v>
      </c>
    </row>
    <row r="166" spans="1:8" x14ac:dyDescent="0.25">
      <c r="A166">
        <v>474871675</v>
      </c>
      <c r="B166" t="s">
        <v>7</v>
      </c>
      <c r="C166">
        <v>3.8999999999999903E-2</v>
      </c>
      <c r="D166">
        <v>1.28161952080651</v>
      </c>
      <c r="E166">
        <v>0.269223857720848</v>
      </c>
      <c r="F166">
        <v>5</v>
      </c>
      <c r="G166" t="str">
        <f>VLOOKUP(A166,[1]inrix_key!$A:$C,3,FALSE)</f>
        <v>McMillan_E</v>
      </c>
      <c r="H166">
        <f t="shared" si="2"/>
        <v>2.3399999999999941</v>
      </c>
    </row>
    <row r="167" spans="1:8" x14ac:dyDescent="0.25">
      <c r="A167">
        <v>448697010</v>
      </c>
      <c r="B167" t="s">
        <v>7</v>
      </c>
      <c r="C167">
        <v>3.9979912734324503E-2</v>
      </c>
      <c r="D167">
        <v>4.6747122241016701</v>
      </c>
      <c r="E167">
        <v>1.1608385957761801E-3</v>
      </c>
      <c r="F167">
        <v>10</v>
      </c>
      <c r="G167" t="str">
        <f>VLOOKUP(A167,[1]inrix_key!$A:$C,3,FALSE)</f>
        <v>RiverValley_N</v>
      </c>
      <c r="H167">
        <f t="shared" si="2"/>
        <v>2.39879476405947</v>
      </c>
    </row>
    <row r="168" spans="1:8" x14ac:dyDescent="0.25">
      <c r="A168">
        <v>448697009</v>
      </c>
      <c r="B168" t="s">
        <v>7</v>
      </c>
      <c r="C168">
        <v>4.07245994201876E-2</v>
      </c>
      <c r="D168">
        <v>7.3678435091918502</v>
      </c>
      <c r="E168" s="1">
        <v>4.2458985369927701E-5</v>
      </c>
      <c r="F168">
        <v>10</v>
      </c>
      <c r="G168" t="str">
        <f>VLOOKUP(A168,[1]inrix_key!$A:$C,3,FALSE)</f>
        <v>Ustick_S</v>
      </c>
      <c r="H168">
        <f t="shared" si="2"/>
        <v>2.4434759652112561</v>
      </c>
    </row>
    <row r="169" spans="1:8" x14ac:dyDescent="0.25">
      <c r="A169">
        <v>448695752</v>
      </c>
      <c r="B169" t="s">
        <v>9</v>
      </c>
      <c r="C169">
        <v>4.13621864654952E-2</v>
      </c>
      <c r="D169">
        <v>7.3136958789772599</v>
      </c>
      <c r="E169" s="1">
        <v>6.1841177475672602E-7</v>
      </c>
      <c r="F169">
        <v>20</v>
      </c>
      <c r="G169" t="str">
        <f>VLOOKUP(A169,[1]inrix_key!$A:$C,3,FALSE)</f>
        <v>IslandWood_N</v>
      </c>
      <c r="H169">
        <f t="shared" si="2"/>
        <v>2.4817311879297121</v>
      </c>
    </row>
    <row r="170" spans="1:8" x14ac:dyDescent="0.25">
      <c r="A170">
        <v>1187577122</v>
      </c>
      <c r="B170" t="s">
        <v>9</v>
      </c>
      <c r="C170">
        <v>4.2308525012569098E-2</v>
      </c>
      <c r="D170">
        <v>3.1890714640681201</v>
      </c>
      <c r="E170">
        <v>4.8310731101915199E-3</v>
      </c>
      <c r="F170">
        <v>20</v>
      </c>
      <c r="G170" t="str">
        <f>VLOOKUP(A170,[1]inrix_key!$A:$C,3,FALSE)</f>
        <v>Chinden_E</v>
      </c>
      <c r="H170">
        <f t="shared" si="2"/>
        <v>2.5385115007541459</v>
      </c>
    </row>
    <row r="171" spans="1:8" x14ac:dyDescent="0.25">
      <c r="A171">
        <v>119501618</v>
      </c>
      <c r="B171" t="s">
        <v>9</v>
      </c>
      <c r="C171">
        <v>4.2453135345047098E-2</v>
      </c>
      <c r="D171">
        <v>3.6594676148868599</v>
      </c>
      <c r="E171">
        <v>1.66679944495312E-3</v>
      </c>
      <c r="F171">
        <v>20</v>
      </c>
      <c r="G171" t="str">
        <f>VLOOKUP(A171,[1]inrix_key!$A:$C,3,FALSE)</f>
        <v>McMillan_N</v>
      </c>
      <c r="H171">
        <f t="shared" si="2"/>
        <v>2.5471881207028257</v>
      </c>
    </row>
    <row r="172" spans="1:8" x14ac:dyDescent="0.25">
      <c r="A172">
        <v>1187549053</v>
      </c>
      <c r="B172" t="s">
        <v>8</v>
      </c>
      <c r="C172">
        <v>4.42647058823529E-2</v>
      </c>
      <c r="D172">
        <v>5.4865094386350304</v>
      </c>
      <c r="E172">
        <v>9.1959523057980302E-4</v>
      </c>
      <c r="F172">
        <v>8</v>
      </c>
      <c r="G172" t="str">
        <f>VLOOKUP(A172,[1]inrix_key!$A:$C,3,FALSE)</f>
        <v>HobbleCreek_S</v>
      </c>
      <c r="H172">
        <f t="shared" si="2"/>
        <v>2.6558823529411741</v>
      </c>
    </row>
    <row r="173" spans="1:8" x14ac:dyDescent="0.25">
      <c r="A173">
        <v>1187466896</v>
      </c>
      <c r="B173" t="s">
        <v>7</v>
      </c>
      <c r="C173">
        <v>4.4513668112932801E-2</v>
      </c>
      <c r="D173">
        <v>8.3357278212205799</v>
      </c>
      <c r="E173" s="1">
        <v>1.5914719245055201E-5</v>
      </c>
      <c r="F173">
        <v>10</v>
      </c>
      <c r="G173" t="str">
        <f>VLOOKUP(A173,[1]inrix_key!$A:$C,3,FALSE)</f>
        <v>IslandWood_S</v>
      </c>
      <c r="H173">
        <f t="shared" si="2"/>
        <v>2.6708200867759682</v>
      </c>
    </row>
    <row r="174" spans="1:8" x14ac:dyDescent="0.25">
      <c r="A174">
        <v>1187466917</v>
      </c>
      <c r="B174" t="s">
        <v>7</v>
      </c>
      <c r="C174">
        <v>4.5573650532474003E-2</v>
      </c>
      <c r="D174">
        <v>5.6899002952779796</v>
      </c>
      <c r="E174">
        <v>2.98099136175271E-4</v>
      </c>
      <c r="F174">
        <v>10</v>
      </c>
      <c r="G174" t="str">
        <f>VLOOKUP(A174,[1]inrix_key!$A:$C,3,FALSE)</f>
        <v>Colchester_S</v>
      </c>
      <c r="H174">
        <f t="shared" si="2"/>
        <v>2.7344190319484403</v>
      </c>
    </row>
    <row r="175" spans="1:8" x14ac:dyDescent="0.25">
      <c r="A175">
        <v>1187586311</v>
      </c>
      <c r="B175" t="s">
        <v>8</v>
      </c>
      <c r="C175">
        <v>4.6695772058823498E-2</v>
      </c>
      <c r="D175">
        <v>4.6158258298597099</v>
      </c>
      <c r="E175">
        <v>2.43813123750742E-3</v>
      </c>
      <c r="F175">
        <v>8</v>
      </c>
      <c r="G175" t="str">
        <f>VLOOKUP(A175,[1]inrix_key!$A:$C,3,FALSE)</f>
        <v>EB_W</v>
      </c>
      <c r="H175">
        <f t="shared" si="2"/>
        <v>2.80174632352941</v>
      </c>
    </row>
    <row r="176" spans="1:8" x14ac:dyDescent="0.25">
      <c r="A176">
        <v>1187327938</v>
      </c>
      <c r="B176" t="s">
        <v>6</v>
      </c>
      <c r="C176">
        <v>4.9827205882353003E-2</v>
      </c>
      <c r="D176">
        <v>2.3992959227269601</v>
      </c>
      <c r="E176">
        <v>2.68443403257182E-2</v>
      </c>
      <c r="F176">
        <v>20</v>
      </c>
      <c r="G176" t="str">
        <f>VLOOKUP(A176,[1]inrix_key!$A:$C,3,FALSE)</f>
        <v>Franklin_W</v>
      </c>
      <c r="H176">
        <f t="shared" si="2"/>
        <v>2.9896323529411801</v>
      </c>
    </row>
    <row r="177" spans="1:8" x14ac:dyDescent="0.25">
      <c r="A177">
        <v>1187586311</v>
      </c>
      <c r="B177" t="s">
        <v>6</v>
      </c>
      <c r="C177">
        <v>5.0573529411764698E-2</v>
      </c>
      <c r="D177">
        <v>2.8167679098730201</v>
      </c>
      <c r="E177">
        <v>1.1013618115844699E-2</v>
      </c>
      <c r="F177">
        <v>20</v>
      </c>
      <c r="G177" t="str">
        <f>VLOOKUP(A177,[1]inrix_key!$A:$C,3,FALSE)</f>
        <v>EB_W</v>
      </c>
      <c r="H177">
        <f t="shared" si="2"/>
        <v>3.0344117647058817</v>
      </c>
    </row>
    <row r="178" spans="1:8" x14ac:dyDescent="0.25">
      <c r="A178">
        <v>448694757</v>
      </c>
      <c r="B178" t="s">
        <v>6</v>
      </c>
      <c r="C178">
        <v>5.0843749999999903E-2</v>
      </c>
      <c r="D178">
        <v>4.3416494256357696</v>
      </c>
      <c r="E178">
        <v>3.5141254203254401E-4</v>
      </c>
      <c r="F178">
        <v>20</v>
      </c>
      <c r="G178" t="str">
        <f>VLOOKUP(A178,[1]inrix_key!$A:$C,3,FALSE)</f>
        <v>Ustick_W</v>
      </c>
      <c r="H178">
        <f t="shared" si="2"/>
        <v>3.0506249999999944</v>
      </c>
    </row>
    <row r="179" spans="1:8" x14ac:dyDescent="0.25">
      <c r="A179">
        <v>448697011</v>
      </c>
      <c r="B179" t="s">
        <v>7</v>
      </c>
      <c r="C179">
        <v>5.1171232933732901E-2</v>
      </c>
      <c r="D179">
        <v>7.5464634650467204</v>
      </c>
      <c r="E179" s="1">
        <v>3.5174363747351798E-5</v>
      </c>
      <c r="F179">
        <v>10</v>
      </c>
      <c r="G179" t="str">
        <f>VLOOKUP(A179,[1]inrix_key!$A:$C,3,FALSE)</f>
        <v>Fairview_N</v>
      </c>
      <c r="H179">
        <f t="shared" si="2"/>
        <v>3.0702739760239739</v>
      </c>
    </row>
    <row r="180" spans="1:8" x14ac:dyDescent="0.25">
      <c r="A180">
        <v>448695753</v>
      </c>
      <c r="B180" t="s">
        <v>9</v>
      </c>
      <c r="C180">
        <v>5.1548103367221002E-2</v>
      </c>
      <c r="D180">
        <v>5.4124676855793004</v>
      </c>
      <c r="E180" s="1">
        <v>3.1909944163155803E-5</v>
      </c>
      <c r="F180">
        <v>20</v>
      </c>
      <c r="G180" t="str">
        <f>VLOOKUP(A180,[1]inrix_key!$A:$C,3,FALSE)</f>
        <v>Riverside_S</v>
      </c>
      <c r="H180">
        <f t="shared" si="2"/>
        <v>3.0928862020332599</v>
      </c>
    </row>
    <row r="181" spans="1:8" x14ac:dyDescent="0.25">
      <c r="A181">
        <v>448695751</v>
      </c>
      <c r="B181" t="s">
        <v>6</v>
      </c>
      <c r="C181">
        <v>5.2845588235294103E-2</v>
      </c>
      <c r="D181">
        <v>5.78325408957138</v>
      </c>
      <c r="E181" s="1">
        <v>1.4266583938468301E-5</v>
      </c>
      <c r="F181">
        <v>20</v>
      </c>
      <c r="G181" t="str">
        <f>VLOOKUP(A181,[1]inrix_key!$A:$C,3,FALSE)</f>
        <v>Riverside_N</v>
      </c>
      <c r="H181">
        <f t="shared" si="2"/>
        <v>3.1707352941176463</v>
      </c>
    </row>
    <row r="182" spans="1:8" x14ac:dyDescent="0.25">
      <c r="A182">
        <v>1187579027</v>
      </c>
      <c r="B182" t="s">
        <v>8</v>
      </c>
      <c r="C182">
        <v>5.3579963235294098E-2</v>
      </c>
      <c r="D182">
        <v>5.1123334139044703</v>
      </c>
      <c r="E182">
        <v>1.38044830990978E-3</v>
      </c>
      <c r="F182">
        <v>8</v>
      </c>
      <c r="G182" t="str">
        <f>VLOOKUP(A182,[1]inrix_key!$A:$C,3,FALSE)</f>
        <v>Fairview_E</v>
      </c>
      <c r="H182">
        <f t="shared" si="2"/>
        <v>3.2147977941176458</v>
      </c>
    </row>
    <row r="183" spans="1:8" x14ac:dyDescent="0.25">
      <c r="A183">
        <v>1187335042</v>
      </c>
      <c r="B183" t="s">
        <v>7</v>
      </c>
      <c r="C183">
        <v>5.5191552891552899E-2</v>
      </c>
      <c r="D183">
        <v>3.2620359511897901</v>
      </c>
      <c r="E183">
        <v>9.8067626262137598E-3</v>
      </c>
      <c r="F183">
        <v>10</v>
      </c>
      <c r="G183" t="str">
        <f>VLOOKUP(A183,[1]inrix_key!$A:$C,3,FALSE)</f>
        <v>Ustick_N</v>
      </c>
      <c r="H183">
        <f t="shared" si="2"/>
        <v>3.3114931734931741</v>
      </c>
    </row>
    <row r="184" spans="1:8" x14ac:dyDescent="0.25">
      <c r="A184">
        <v>448695752</v>
      </c>
      <c r="B184" t="s">
        <v>6</v>
      </c>
      <c r="C184">
        <v>6.0227941176470498E-2</v>
      </c>
      <c r="D184">
        <v>6.6176472802655004</v>
      </c>
      <c r="E184" s="1">
        <v>2.4802835222895099E-6</v>
      </c>
      <c r="F184">
        <v>20</v>
      </c>
      <c r="G184" t="str">
        <f>VLOOKUP(A184,[1]inrix_key!$A:$C,3,FALSE)</f>
        <v>IslandWood_N</v>
      </c>
      <c r="H184">
        <f t="shared" si="2"/>
        <v>3.61367647058823</v>
      </c>
    </row>
    <row r="185" spans="1:8" x14ac:dyDescent="0.25">
      <c r="A185">
        <v>448694757</v>
      </c>
      <c r="B185" t="s">
        <v>7</v>
      </c>
      <c r="C185">
        <v>6.3379629629629605E-2</v>
      </c>
      <c r="D185">
        <v>1.99740442028172</v>
      </c>
      <c r="E185">
        <v>8.0840631619719702E-2</v>
      </c>
      <c r="F185">
        <v>9</v>
      </c>
      <c r="G185" t="str">
        <f>VLOOKUP(A185,[1]inrix_key!$A:$C,3,FALSE)</f>
        <v>Ustick_W</v>
      </c>
      <c r="H185">
        <f t="shared" si="2"/>
        <v>3.8027777777777763</v>
      </c>
    </row>
    <row r="186" spans="1:8" x14ac:dyDescent="0.25">
      <c r="A186">
        <v>1187333665</v>
      </c>
      <c r="B186" t="s">
        <v>7</v>
      </c>
      <c r="C186">
        <v>6.3478729603729606E-2</v>
      </c>
      <c r="D186">
        <v>4.9764279890838701</v>
      </c>
      <c r="E186">
        <v>7.6315981632475195E-4</v>
      </c>
      <c r="F186">
        <v>10</v>
      </c>
      <c r="G186" t="str">
        <f>VLOOKUP(A186,[1]inrix_key!$A:$C,3,FALSE)</f>
        <v>Chinden_N</v>
      </c>
      <c r="H186">
        <f t="shared" si="2"/>
        <v>3.8087237762237764</v>
      </c>
    </row>
    <row r="187" spans="1:8" x14ac:dyDescent="0.25">
      <c r="A187">
        <v>448697007</v>
      </c>
      <c r="B187" t="s">
        <v>8</v>
      </c>
      <c r="C187">
        <v>6.5261948529411695E-2</v>
      </c>
      <c r="D187">
        <v>3.3325997714239102</v>
      </c>
      <c r="E187">
        <v>1.25462686081186E-2</v>
      </c>
      <c r="F187">
        <v>8</v>
      </c>
      <c r="G187" t="str">
        <f>VLOOKUP(A187,[1]inrix_key!$A:$C,3,FALSE)</f>
        <v>WB_N</v>
      </c>
      <c r="H187">
        <f t="shared" si="2"/>
        <v>3.9157169117647017</v>
      </c>
    </row>
    <row r="188" spans="1:8" x14ac:dyDescent="0.25">
      <c r="A188">
        <v>1187548975</v>
      </c>
      <c r="B188" t="s">
        <v>6</v>
      </c>
      <c r="C188">
        <v>6.5658088235294093E-2</v>
      </c>
      <c r="D188">
        <v>2.1926660873173298</v>
      </c>
      <c r="E188">
        <v>4.0982245124475097E-2</v>
      </c>
      <c r="F188">
        <v>20</v>
      </c>
      <c r="G188" t="str">
        <f>VLOOKUP(A188,[1]inrix_key!$A:$C,3,FALSE)</f>
        <v>Pine_S</v>
      </c>
      <c r="H188">
        <f t="shared" si="2"/>
        <v>3.9394852941176457</v>
      </c>
    </row>
    <row r="189" spans="1:8" x14ac:dyDescent="0.25">
      <c r="A189">
        <v>448695751</v>
      </c>
      <c r="B189" t="s">
        <v>8</v>
      </c>
      <c r="C189">
        <v>7.14476102941176E-2</v>
      </c>
      <c r="D189">
        <v>10.4280985570764</v>
      </c>
      <c r="E189" s="1">
        <v>1.6217985140420199E-5</v>
      </c>
      <c r="F189">
        <v>8</v>
      </c>
      <c r="G189" t="str">
        <f>VLOOKUP(A189,[1]inrix_key!$A:$C,3,FALSE)</f>
        <v>Riverside_N</v>
      </c>
      <c r="H189">
        <f t="shared" si="2"/>
        <v>4.2868566176470564</v>
      </c>
    </row>
    <row r="190" spans="1:8" x14ac:dyDescent="0.25">
      <c r="A190">
        <v>448697008</v>
      </c>
      <c r="B190" t="s">
        <v>8</v>
      </c>
      <c r="C190">
        <v>7.5367647058823498E-2</v>
      </c>
      <c r="D190">
        <v>3.2860372833831399</v>
      </c>
      <c r="E190">
        <v>1.3375330583030601E-2</v>
      </c>
      <c r="F190">
        <v>8</v>
      </c>
      <c r="G190" t="str">
        <f>VLOOKUP(A190,[1]inrix_key!$A:$C,3,FALSE)</f>
        <v>RiverValley_S</v>
      </c>
      <c r="H190">
        <f t="shared" si="2"/>
        <v>4.5220588235294095</v>
      </c>
    </row>
    <row r="191" spans="1:8" x14ac:dyDescent="0.25">
      <c r="A191">
        <v>1187548975</v>
      </c>
      <c r="B191" t="s">
        <v>8</v>
      </c>
      <c r="C191">
        <v>7.8460477941176499E-2</v>
      </c>
      <c r="D191">
        <v>2.0104469522187398</v>
      </c>
      <c r="E191">
        <v>8.4310161533138098E-2</v>
      </c>
      <c r="F191">
        <v>8</v>
      </c>
      <c r="G191" t="str">
        <f>VLOOKUP(A191,[1]inrix_key!$A:$C,3,FALSE)</f>
        <v>Pine_S</v>
      </c>
      <c r="H191">
        <f t="shared" si="2"/>
        <v>4.7076286764705895</v>
      </c>
    </row>
    <row r="192" spans="1:8" x14ac:dyDescent="0.25">
      <c r="A192">
        <v>448697006</v>
      </c>
      <c r="B192" t="s">
        <v>8</v>
      </c>
      <c r="C192">
        <v>7.9209558823529397E-2</v>
      </c>
      <c r="D192">
        <v>10.2940284514294</v>
      </c>
      <c r="E192" s="1">
        <v>1.76681805087557E-5</v>
      </c>
      <c r="F192">
        <v>8</v>
      </c>
      <c r="G192" t="str">
        <f>VLOOKUP(A192,[1]inrix_key!$A:$C,3,FALSE)</f>
        <v>StLukes_N</v>
      </c>
      <c r="H192">
        <f t="shared" si="2"/>
        <v>4.7525735294117641</v>
      </c>
    </row>
    <row r="193" spans="1:8" x14ac:dyDescent="0.25">
      <c r="A193">
        <v>448725599</v>
      </c>
      <c r="B193" t="s">
        <v>8</v>
      </c>
      <c r="C193">
        <v>7.9512867647058796E-2</v>
      </c>
      <c r="D193">
        <v>8.9177314871977895</v>
      </c>
      <c r="E193" s="1">
        <v>4.5280700344675502E-5</v>
      </c>
      <c r="F193">
        <v>8</v>
      </c>
      <c r="G193" t="str">
        <f>VLOOKUP(A193,[1]inrix_key!$A:$C,3,FALSE)</f>
        <v>Chinden_S</v>
      </c>
      <c r="H193">
        <f t="shared" si="2"/>
        <v>4.7707720588235274</v>
      </c>
    </row>
    <row r="194" spans="1:8" x14ac:dyDescent="0.25">
      <c r="A194">
        <v>1187654588</v>
      </c>
      <c r="B194" t="s">
        <v>8</v>
      </c>
      <c r="C194">
        <v>8.6847426470588199E-2</v>
      </c>
      <c r="D194">
        <v>3.8260908318017202</v>
      </c>
      <c r="E194">
        <v>6.4906746501200404E-3</v>
      </c>
      <c r="F194">
        <v>8</v>
      </c>
      <c r="G194" t="str">
        <f>VLOOKUP(A194,[1]inrix_key!$A:$C,3,FALSE)</f>
        <v>Franklin_N</v>
      </c>
      <c r="H194">
        <f t="shared" ref="H194:H209" si="3">60*C194</f>
        <v>5.2108455882352915</v>
      </c>
    </row>
    <row r="195" spans="1:8" x14ac:dyDescent="0.25">
      <c r="A195">
        <v>448695752</v>
      </c>
      <c r="B195" t="s">
        <v>8</v>
      </c>
      <c r="C195">
        <v>8.76332720588235E-2</v>
      </c>
      <c r="D195">
        <v>10.1513572161012</v>
      </c>
      <c r="E195" s="1">
        <v>1.9375354195914199E-5</v>
      </c>
      <c r="F195">
        <v>8</v>
      </c>
      <c r="G195" t="str">
        <f>VLOOKUP(A195,[1]inrix_key!$A:$C,3,FALSE)</f>
        <v>IslandWood_N</v>
      </c>
      <c r="H195">
        <f t="shared" si="3"/>
        <v>5.2579963235294098</v>
      </c>
    </row>
    <row r="196" spans="1:8" x14ac:dyDescent="0.25">
      <c r="A196">
        <v>1187333605</v>
      </c>
      <c r="B196" t="s">
        <v>6</v>
      </c>
      <c r="C196">
        <v>9.9286764705882297E-2</v>
      </c>
      <c r="D196">
        <v>5.2503351835929903</v>
      </c>
      <c r="E196" s="1">
        <v>4.5590668961317698E-5</v>
      </c>
      <c r="F196">
        <v>20</v>
      </c>
      <c r="G196" t="str">
        <f>VLOOKUP(A196,[1]inrix_key!$A:$C,3,FALSE)</f>
        <v>Colchester_N</v>
      </c>
      <c r="H196">
        <f t="shared" si="3"/>
        <v>5.9572058823529375</v>
      </c>
    </row>
    <row r="197" spans="1:8" x14ac:dyDescent="0.25">
      <c r="A197">
        <v>1187577122</v>
      </c>
      <c r="B197" t="s">
        <v>6</v>
      </c>
      <c r="C197">
        <v>0.10050000000000001</v>
      </c>
      <c r="D197">
        <v>4.2738100773877497</v>
      </c>
      <c r="E197">
        <v>4.1013826297790101E-4</v>
      </c>
      <c r="F197">
        <v>20</v>
      </c>
      <c r="G197" t="str">
        <f>VLOOKUP(A197,[1]inrix_key!$A:$C,3,FALSE)</f>
        <v>Chinden_E</v>
      </c>
      <c r="H197">
        <f t="shared" si="3"/>
        <v>6.03</v>
      </c>
    </row>
    <row r="198" spans="1:8" x14ac:dyDescent="0.25">
      <c r="A198">
        <v>1187577122</v>
      </c>
      <c r="B198" t="s">
        <v>7</v>
      </c>
      <c r="C198">
        <v>0.109086557886557</v>
      </c>
      <c r="D198">
        <v>4.3022878767177497</v>
      </c>
      <c r="E198">
        <v>1.9839858120771401E-3</v>
      </c>
      <c r="F198">
        <v>10</v>
      </c>
      <c r="G198" t="str">
        <f>VLOOKUP(A198,[1]inrix_key!$A:$C,3,FALSE)</f>
        <v>Chinden_E</v>
      </c>
      <c r="H198">
        <f t="shared" si="3"/>
        <v>6.5451934731934198</v>
      </c>
    </row>
    <row r="199" spans="1:8" x14ac:dyDescent="0.25">
      <c r="A199">
        <v>1187466917</v>
      </c>
      <c r="B199" t="s">
        <v>6</v>
      </c>
      <c r="C199">
        <v>0.11792647058823499</v>
      </c>
      <c r="D199">
        <v>5.8230787345980204</v>
      </c>
      <c r="E199" s="1">
        <v>1.30974355584621E-5</v>
      </c>
      <c r="F199">
        <v>20</v>
      </c>
      <c r="G199" t="str">
        <f>VLOOKUP(A199,[1]inrix_key!$A:$C,3,FALSE)</f>
        <v>Colchester_S</v>
      </c>
      <c r="H199">
        <f t="shared" si="3"/>
        <v>7.0755882352940995</v>
      </c>
    </row>
    <row r="200" spans="1:8" x14ac:dyDescent="0.25">
      <c r="A200">
        <v>448695753</v>
      </c>
      <c r="B200" t="s">
        <v>6</v>
      </c>
      <c r="C200">
        <v>0.13733455882352899</v>
      </c>
      <c r="D200">
        <v>13.4530509915495</v>
      </c>
      <c r="E200" s="1">
        <v>3.6734491659763198E-11</v>
      </c>
      <c r="F200">
        <v>20</v>
      </c>
      <c r="G200" t="str">
        <f>VLOOKUP(A200,[1]inrix_key!$A:$C,3,FALSE)</f>
        <v>Riverside_S</v>
      </c>
      <c r="H200">
        <f t="shared" si="3"/>
        <v>8.24007352941174</v>
      </c>
    </row>
    <row r="201" spans="1:8" x14ac:dyDescent="0.25">
      <c r="A201">
        <v>1187466917</v>
      </c>
      <c r="B201" t="s">
        <v>8</v>
      </c>
      <c r="C201">
        <v>0.142316176470588</v>
      </c>
      <c r="D201">
        <v>8.0892408603482799</v>
      </c>
      <c r="E201" s="1">
        <v>8.4910373337890495E-5</v>
      </c>
      <c r="F201">
        <v>8</v>
      </c>
      <c r="G201" t="str">
        <f>VLOOKUP(A201,[1]inrix_key!$A:$C,3,FALSE)</f>
        <v>Colchester_S</v>
      </c>
      <c r="H201">
        <f t="shared" si="3"/>
        <v>8.53897058823528</v>
      </c>
    </row>
    <row r="202" spans="1:8" x14ac:dyDescent="0.25">
      <c r="A202">
        <v>1187333665</v>
      </c>
      <c r="B202" t="s">
        <v>6</v>
      </c>
      <c r="C202">
        <v>0.14851286764705801</v>
      </c>
      <c r="D202">
        <v>4.1944504387264798</v>
      </c>
      <c r="E202">
        <v>4.9149996551038698E-4</v>
      </c>
      <c r="F202">
        <v>20</v>
      </c>
      <c r="G202" t="str">
        <f>VLOOKUP(A202,[1]inrix_key!$A:$C,3,FALSE)</f>
        <v>Chinden_N</v>
      </c>
      <c r="H202">
        <f t="shared" si="3"/>
        <v>8.9107720588234809</v>
      </c>
    </row>
    <row r="203" spans="1:8" x14ac:dyDescent="0.25">
      <c r="A203">
        <v>1187612015</v>
      </c>
      <c r="B203" t="s">
        <v>8</v>
      </c>
      <c r="C203">
        <v>0.15821231617647</v>
      </c>
      <c r="D203">
        <v>5.6815511008114301</v>
      </c>
      <c r="E203">
        <v>7.4952552599580498E-4</v>
      </c>
      <c r="F203">
        <v>8</v>
      </c>
      <c r="G203" t="str">
        <f>VLOOKUP(A203,[1]inrix_key!$A:$C,3,FALSE)</f>
        <v>Chinden_W</v>
      </c>
      <c r="H203">
        <f t="shared" si="3"/>
        <v>9.4927389705881993</v>
      </c>
    </row>
    <row r="204" spans="1:8" x14ac:dyDescent="0.25">
      <c r="A204">
        <v>448695753</v>
      </c>
      <c r="B204" t="s">
        <v>8</v>
      </c>
      <c r="C204">
        <v>0.169113051470588</v>
      </c>
      <c r="D204">
        <v>7.5502705255563596</v>
      </c>
      <c r="E204">
        <v>1.31632979386432E-4</v>
      </c>
      <c r="F204">
        <v>8</v>
      </c>
      <c r="G204" t="str">
        <f>VLOOKUP(A204,[1]inrix_key!$A:$C,3,FALSE)</f>
        <v>Riverside_S</v>
      </c>
      <c r="H204">
        <f t="shared" si="3"/>
        <v>10.14678308823528</v>
      </c>
    </row>
    <row r="205" spans="1:8" x14ac:dyDescent="0.25">
      <c r="A205">
        <v>1187466896</v>
      </c>
      <c r="B205" t="s">
        <v>6</v>
      </c>
      <c r="C205">
        <v>0.18835110294117599</v>
      </c>
      <c r="D205">
        <v>7.0851160015541303</v>
      </c>
      <c r="E205" s="1">
        <v>9.68813221294508E-7</v>
      </c>
      <c r="F205">
        <v>20</v>
      </c>
      <c r="G205" t="str">
        <f>VLOOKUP(A205,[1]inrix_key!$A:$C,3,FALSE)</f>
        <v>IslandWood_S</v>
      </c>
      <c r="H205">
        <f t="shared" si="3"/>
        <v>11.30106617647056</v>
      </c>
    </row>
    <row r="206" spans="1:8" x14ac:dyDescent="0.25">
      <c r="A206">
        <v>1187466896</v>
      </c>
      <c r="B206" t="s">
        <v>8</v>
      </c>
      <c r="C206">
        <v>0.191700367647058</v>
      </c>
      <c r="D206">
        <v>10.3484380066852</v>
      </c>
      <c r="E206" s="1">
        <v>1.7062602174425999E-5</v>
      </c>
      <c r="F206">
        <v>8</v>
      </c>
      <c r="G206" t="str">
        <f>VLOOKUP(A206,[1]inrix_key!$A:$C,3,FALSE)</f>
        <v>IslandWood_S</v>
      </c>
      <c r="H206">
        <f t="shared" si="3"/>
        <v>11.50202205882348</v>
      </c>
    </row>
    <row r="207" spans="1:8" x14ac:dyDescent="0.25">
      <c r="A207">
        <v>1187333605</v>
      </c>
      <c r="B207" t="s">
        <v>8</v>
      </c>
      <c r="C207">
        <v>0.21915441176470499</v>
      </c>
      <c r="D207">
        <v>5.7376011880136302</v>
      </c>
      <c r="E207">
        <v>7.0737681232736305E-4</v>
      </c>
      <c r="F207">
        <v>8</v>
      </c>
      <c r="G207" t="str">
        <f>VLOOKUP(A207,[1]inrix_key!$A:$C,3,FALSE)</f>
        <v>Colchester_N</v>
      </c>
      <c r="H207">
        <f t="shared" si="3"/>
        <v>13.149264705882299</v>
      </c>
    </row>
    <row r="208" spans="1:8" x14ac:dyDescent="0.25">
      <c r="A208">
        <v>1187333665</v>
      </c>
      <c r="B208" t="s">
        <v>8</v>
      </c>
      <c r="C208">
        <v>0.26709099264705799</v>
      </c>
      <c r="D208">
        <v>8.0292344589211506</v>
      </c>
      <c r="E208" s="1">
        <v>8.9050123349958499E-5</v>
      </c>
      <c r="F208">
        <v>8</v>
      </c>
      <c r="G208" t="str">
        <f>VLOOKUP(A208,[1]inrix_key!$A:$C,3,FALSE)</f>
        <v>Chinden_N</v>
      </c>
      <c r="H208">
        <f t="shared" si="3"/>
        <v>16.025459558823478</v>
      </c>
    </row>
    <row r="209" spans="1:8" x14ac:dyDescent="0.25">
      <c r="A209">
        <v>1187577122</v>
      </c>
      <c r="B209" t="s">
        <v>8</v>
      </c>
      <c r="C209">
        <v>0.38297334558823498</v>
      </c>
      <c r="D209">
        <v>5.40675740863679</v>
      </c>
      <c r="E209">
        <v>1.00120603265172E-3</v>
      </c>
      <c r="F209">
        <v>8</v>
      </c>
      <c r="G209" t="str">
        <f>VLOOKUP(A209,[1]inrix_key!$A:$C,3,FALSE)</f>
        <v>Chinden_E</v>
      </c>
      <c r="H209">
        <f t="shared" si="3"/>
        <v>22.978400735294098</v>
      </c>
    </row>
    <row r="225" spans="5:5" x14ac:dyDescent="0.25">
      <c r="E225" s="1"/>
    </row>
    <row r="234" spans="5:5" x14ac:dyDescent="0.25">
      <c r="E234" s="1"/>
    </row>
    <row r="238" spans="5:5" x14ac:dyDescent="0.25">
      <c r="E238" s="1"/>
    </row>
    <row r="239" spans="5:5" x14ac:dyDescent="0.25">
      <c r="E239" s="1"/>
    </row>
    <row r="244" spans="5:5" x14ac:dyDescent="0.25">
      <c r="E244" s="1"/>
    </row>
    <row r="257" spans="5:5" x14ac:dyDescent="0.25">
      <c r="E257" s="1"/>
    </row>
  </sheetData>
  <autoFilter ref="A1:H209" xr:uid="{C6D99970-88AB-4242-B998-4363043B4330}">
    <sortState xmlns:xlrd2="http://schemas.microsoft.com/office/spreadsheetml/2017/richdata2" ref="A2:H209">
      <sortCondition ref="H1:H20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FD19-86C6-4116-A967-06EEF1957020}">
  <dimension ref="A1:K332"/>
  <sheetViews>
    <sheetView tabSelected="1" workbookViewId="0">
      <selection activeCell="L10" sqref="L10"/>
    </sheetView>
  </sheetViews>
  <sheetFormatPr defaultRowHeight="15" x14ac:dyDescent="0.25"/>
  <cols>
    <col min="7" max="7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12</v>
      </c>
    </row>
    <row r="2" spans="1:11" x14ac:dyDescent="0.25">
      <c r="A2">
        <v>1187333665</v>
      </c>
      <c r="B2" t="s">
        <v>22</v>
      </c>
      <c r="C2">
        <v>-0.92462500000000003</v>
      </c>
      <c r="D2">
        <v>-11.020237091025299</v>
      </c>
      <c r="E2" s="1">
        <v>1.1237741846167899E-5</v>
      </c>
      <c r="F2">
        <v>8</v>
      </c>
      <c r="G2" t="str">
        <f>VLOOKUP(A2,[1]inrix_key!$A:$C,3,FALSE)</f>
        <v>Chinden_N</v>
      </c>
      <c r="H2">
        <f t="shared" ref="H2:H65" si="0">60*C2</f>
        <v>-55.477499999999999</v>
      </c>
    </row>
    <row r="3" spans="1:11" x14ac:dyDescent="0.25">
      <c r="A3">
        <v>448697009</v>
      </c>
      <c r="B3" t="s">
        <v>22</v>
      </c>
      <c r="C3">
        <v>-0.2320625</v>
      </c>
      <c r="D3">
        <v>-7.7038998266429504</v>
      </c>
      <c r="E3">
        <v>1.15874758513941E-4</v>
      </c>
      <c r="F3">
        <v>8</v>
      </c>
      <c r="G3" t="str">
        <f>VLOOKUP(A3,[1]inrix_key!$A:$C,3,FALSE)</f>
        <v>Ustick_S</v>
      </c>
      <c r="H3">
        <f t="shared" si="0"/>
        <v>-13.92375</v>
      </c>
      <c r="J3" t="s">
        <v>13</v>
      </c>
      <c r="K3">
        <f>AVERAGEIF(G:G,"*_N*",H:H)</f>
        <v>0.27323374890631663</v>
      </c>
    </row>
    <row r="4" spans="1:11" x14ac:dyDescent="0.25">
      <c r="A4">
        <v>117772024</v>
      </c>
      <c r="B4" t="s">
        <v>18</v>
      </c>
      <c r="C4">
        <v>-0.19999999999999901</v>
      </c>
      <c r="F4">
        <v>1</v>
      </c>
      <c r="G4" t="str">
        <f>VLOOKUP(A4,[1]inrix_key!$A:$C,3,FALSE)</f>
        <v>IslandWood_W</v>
      </c>
      <c r="H4">
        <f t="shared" si="0"/>
        <v>-11.999999999999941</v>
      </c>
      <c r="J4" t="s">
        <v>14</v>
      </c>
      <c r="K4">
        <f>AVERAGEIF(G:G,"*_S*",H:H)</f>
        <v>0.59629159451223634</v>
      </c>
    </row>
    <row r="5" spans="1:11" x14ac:dyDescent="0.25">
      <c r="A5">
        <v>1187335042</v>
      </c>
      <c r="B5" t="s">
        <v>19</v>
      </c>
      <c r="C5">
        <v>-0.19874999999999901</v>
      </c>
      <c r="D5">
        <v>-5.2441109161324198</v>
      </c>
      <c r="E5">
        <v>1.1938772674649899E-3</v>
      </c>
      <c r="F5">
        <v>8</v>
      </c>
      <c r="G5" t="str">
        <f>VLOOKUP(A5,[1]inrix_key!$A:$C,3,FALSE)</f>
        <v>Ustick_N</v>
      </c>
      <c r="H5">
        <f t="shared" si="0"/>
        <v>-11.92499999999994</v>
      </c>
      <c r="J5" t="s">
        <v>15</v>
      </c>
      <c r="K5">
        <f>AVERAGEIF(G:G,"*_W*",H:H)</f>
        <v>0.27591155321638705</v>
      </c>
    </row>
    <row r="6" spans="1:11" x14ac:dyDescent="0.25">
      <c r="A6">
        <v>1187579027</v>
      </c>
      <c r="B6" t="s">
        <v>22</v>
      </c>
      <c r="C6">
        <v>-0.18862499999999999</v>
      </c>
      <c r="D6">
        <v>-19.139858707783301</v>
      </c>
      <c r="E6" s="1">
        <v>2.6462136719723298E-7</v>
      </c>
      <c r="F6">
        <v>8</v>
      </c>
      <c r="G6" t="str">
        <f>VLOOKUP(A6,[1]inrix_key!$A:$C,3,FALSE)</f>
        <v>Fairview_E</v>
      </c>
      <c r="H6">
        <f t="shared" si="0"/>
        <v>-11.317499999999999</v>
      </c>
      <c r="J6" t="s">
        <v>16</v>
      </c>
      <c r="K6">
        <f>AVERAGEIF(G:G,"*_E*",H:H)</f>
        <v>-0.29646081908922728</v>
      </c>
    </row>
    <row r="7" spans="1:11" x14ac:dyDescent="0.25">
      <c r="A7">
        <v>448694757</v>
      </c>
      <c r="B7" t="s">
        <v>22</v>
      </c>
      <c r="C7">
        <v>-0.18431249999999999</v>
      </c>
      <c r="D7">
        <v>-11.472623976385901</v>
      </c>
      <c r="E7" s="1">
        <v>8.5918592384166703E-6</v>
      </c>
      <c r="F7">
        <v>8</v>
      </c>
      <c r="G7" t="str">
        <f>VLOOKUP(A7,[1]inrix_key!$A:$C,3,FALSE)</f>
        <v>Ustick_W</v>
      </c>
      <c r="H7">
        <f t="shared" si="0"/>
        <v>-11.05875</v>
      </c>
    </row>
    <row r="8" spans="1:11" x14ac:dyDescent="0.25">
      <c r="A8">
        <v>448697008</v>
      </c>
      <c r="B8" t="s">
        <v>22</v>
      </c>
      <c r="C8">
        <v>-0.17274999999999999</v>
      </c>
      <c r="D8">
        <v>-7.6626565857928997</v>
      </c>
      <c r="E8">
        <v>1.19885435901106E-4</v>
      </c>
      <c r="F8">
        <v>8</v>
      </c>
      <c r="G8" t="str">
        <f>VLOOKUP(A8,[1]inrix_key!$A:$C,3,FALSE)</f>
        <v>RiverValley_S</v>
      </c>
      <c r="H8">
        <f t="shared" si="0"/>
        <v>-10.364999999999998</v>
      </c>
    </row>
    <row r="9" spans="1:11" x14ac:dyDescent="0.25">
      <c r="A9">
        <v>448725597</v>
      </c>
      <c r="B9" t="s">
        <v>22</v>
      </c>
      <c r="C9">
        <v>-0.13725000000000001</v>
      </c>
      <c r="D9">
        <v>-10.195678615764001</v>
      </c>
      <c r="E9" s="1">
        <v>1.88257477861196E-5</v>
      </c>
      <c r="F9">
        <v>8</v>
      </c>
      <c r="G9" t="str">
        <f>VLOOKUP(A9,[1]inrix_key!$A:$C,3,FALSE)</f>
        <v>Ustick_E</v>
      </c>
      <c r="H9">
        <f t="shared" si="0"/>
        <v>-8.2350000000000012</v>
      </c>
    </row>
    <row r="10" spans="1:11" x14ac:dyDescent="0.25">
      <c r="A10">
        <v>448697010</v>
      </c>
      <c r="B10" t="s">
        <v>22</v>
      </c>
      <c r="C10">
        <v>-0.13468749999999999</v>
      </c>
      <c r="D10">
        <v>-8.5831665122735696</v>
      </c>
      <c r="E10" s="1">
        <v>5.8007727926594099E-5</v>
      </c>
      <c r="F10">
        <v>8</v>
      </c>
      <c r="G10" t="str">
        <f>VLOOKUP(A10,[1]inrix_key!$A:$C,3,FALSE)</f>
        <v>RiverValley_N</v>
      </c>
      <c r="H10">
        <f t="shared" si="0"/>
        <v>-8.0812499999999989</v>
      </c>
    </row>
    <row r="11" spans="1:11" x14ac:dyDescent="0.25">
      <c r="A11">
        <v>1187548975</v>
      </c>
      <c r="B11" t="s">
        <v>21</v>
      </c>
      <c r="C11">
        <v>-0.11155555555555501</v>
      </c>
      <c r="D11">
        <v>-3.1011178044236098</v>
      </c>
      <c r="E11">
        <v>2.6819191927426302E-2</v>
      </c>
      <c r="F11">
        <v>6</v>
      </c>
      <c r="G11" t="str">
        <f>VLOOKUP(A11,[1]inrix_key!$A:$C,3,FALSE)</f>
        <v>Pine_S</v>
      </c>
      <c r="H11">
        <f t="shared" si="0"/>
        <v>-6.6933333333333005</v>
      </c>
    </row>
    <row r="12" spans="1:11" x14ac:dyDescent="0.25">
      <c r="A12">
        <v>1187579027</v>
      </c>
      <c r="B12" t="s">
        <v>19</v>
      </c>
      <c r="C12">
        <v>-0.1021875</v>
      </c>
      <c r="D12">
        <v>-5.2130411319470804</v>
      </c>
      <c r="E12">
        <v>1.2351952832739899E-3</v>
      </c>
      <c r="F12">
        <v>8</v>
      </c>
      <c r="G12" t="str">
        <f>VLOOKUP(A12,[1]inrix_key!$A:$C,3,FALSE)</f>
        <v>Fairview_E</v>
      </c>
      <c r="H12">
        <f t="shared" si="0"/>
        <v>-6.1312499999999996</v>
      </c>
    </row>
    <row r="13" spans="1:11" x14ac:dyDescent="0.25">
      <c r="A13">
        <v>1187654588</v>
      </c>
      <c r="B13" t="s">
        <v>22</v>
      </c>
      <c r="C13">
        <v>-9.4687499999999994E-2</v>
      </c>
      <c r="D13">
        <v>-4.8851110355676299</v>
      </c>
      <c r="E13">
        <v>1.7831738475843799E-3</v>
      </c>
      <c r="F13">
        <v>8</v>
      </c>
      <c r="G13" t="str">
        <f>VLOOKUP(A13,[1]inrix_key!$A:$C,3,FALSE)</f>
        <v>Franklin_N</v>
      </c>
      <c r="H13">
        <f t="shared" si="0"/>
        <v>-5.6812499999999995</v>
      </c>
    </row>
    <row r="14" spans="1:11" x14ac:dyDescent="0.25">
      <c r="A14">
        <v>1187635580</v>
      </c>
      <c r="B14" t="s">
        <v>19</v>
      </c>
      <c r="C14">
        <v>-9.4687499999999897E-2</v>
      </c>
      <c r="D14">
        <v>-9.0040359311996507</v>
      </c>
      <c r="E14" s="1">
        <v>4.2532795497397601E-5</v>
      </c>
      <c r="F14">
        <v>8</v>
      </c>
      <c r="G14" t="str">
        <f>VLOOKUP(A14,[1]inrix_key!$A:$C,3,FALSE)</f>
        <v>WB_S</v>
      </c>
      <c r="H14">
        <f t="shared" si="0"/>
        <v>-5.6812499999999941</v>
      </c>
    </row>
    <row r="15" spans="1:11" x14ac:dyDescent="0.25">
      <c r="A15">
        <v>1187548947</v>
      </c>
      <c r="B15" t="s">
        <v>21</v>
      </c>
      <c r="C15">
        <v>-9.4583333333333297E-2</v>
      </c>
      <c r="D15">
        <v>-4.53715760490583</v>
      </c>
      <c r="E15">
        <v>6.1847768896838096E-3</v>
      </c>
      <c r="F15">
        <v>6</v>
      </c>
      <c r="G15" t="str">
        <f>VLOOKUP(A15,[1]inrix_key!$A:$C,3,FALSE)</f>
        <v>Fairview_S</v>
      </c>
      <c r="H15">
        <f t="shared" si="0"/>
        <v>-5.674999999999998</v>
      </c>
    </row>
    <row r="16" spans="1:11" x14ac:dyDescent="0.25">
      <c r="A16">
        <v>1187333665</v>
      </c>
      <c r="B16" t="s">
        <v>20</v>
      </c>
      <c r="C16">
        <v>-8.4803921568627399E-2</v>
      </c>
      <c r="D16">
        <v>-3.6156019626067</v>
      </c>
      <c r="E16">
        <v>9.8715719508131591E-4</v>
      </c>
      <c r="F16">
        <v>34</v>
      </c>
      <c r="G16" t="str">
        <f>VLOOKUP(A16,[1]inrix_key!$A:$C,3,FALSE)</f>
        <v>Chinden_N</v>
      </c>
      <c r="H16">
        <f t="shared" si="0"/>
        <v>-5.0882352941176441</v>
      </c>
    </row>
    <row r="17" spans="1:8" x14ac:dyDescent="0.25">
      <c r="A17">
        <v>1187377510</v>
      </c>
      <c r="B17" t="s">
        <v>19</v>
      </c>
      <c r="C17">
        <v>-7.9062499999999994E-2</v>
      </c>
      <c r="D17">
        <v>-7.43245589069529</v>
      </c>
      <c r="E17">
        <v>1.4536205599909201E-4</v>
      </c>
      <c r="F17">
        <v>8</v>
      </c>
      <c r="G17" t="str">
        <f>VLOOKUP(A17,[1]inrix_key!$A:$C,3,FALSE)</f>
        <v>EB_S</v>
      </c>
      <c r="H17">
        <f t="shared" si="0"/>
        <v>-4.7437499999999995</v>
      </c>
    </row>
    <row r="18" spans="1:8" x14ac:dyDescent="0.25">
      <c r="A18">
        <v>1187335042</v>
      </c>
      <c r="B18" t="s">
        <v>22</v>
      </c>
      <c r="C18">
        <v>-7.5374999999999998E-2</v>
      </c>
      <c r="D18">
        <v>-1.6147395833199301</v>
      </c>
      <c r="E18">
        <v>0.150401410750853</v>
      </c>
      <c r="F18">
        <v>8</v>
      </c>
      <c r="G18" t="str">
        <f>VLOOKUP(A18,[1]inrix_key!$A:$C,3,FALSE)</f>
        <v>Ustick_N</v>
      </c>
      <c r="H18">
        <f t="shared" si="0"/>
        <v>-4.5225</v>
      </c>
    </row>
    <row r="19" spans="1:8" x14ac:dyDescent="0.25">
      <c r="A19">
        <v>448694757</v>
      </c>
      <c r="B19" t="s">
        <v>18</v>
      </c>
      <c r="C19">
        <v>-7.3333333333333195E-2</v>
      </c>
      <c r="D19">
        <v>-1.19708503594007</v>
      </c>
      <c r="E19">
        <v>0.353918501823904</v>
      </c>
      <c r="F19">
        <v>3</v>
      </c>
      <c r="G19" t="str">
        <f>VLOOKUP(A19,[1]inrix_key!$A:$C,3,FALSE)</f>
        <v>Ustick_W</v>
      </c>
      <c r="H19">
        <f t="shared" si="0"/>
        <v>-4.3999999999999915</v>
      </c>
    </row>
    <row r="20" spans="1:8" x14ac:dyDescent="0.25">
      <c r="A20">
        <v>1187636735</v>
      </c>
      <c r="B20" t="s">
        <v>18</v>
      </c>
      <c r="C20">
        <v>-6.25E-2</v>
      </c>
      <c r="F20">
        <v>1</v>
      </c>
      <c r="G20" t="str">
        <f>VLOOKUP(A20,[1]inrix_key!$A:$C,3,FALSE)</f>
        <v>WB_E</v>
      </c>
      <c r="H20">
        <f t="shared" si="0"/>
        <v>-3.75</v>
      </c>
    </row>
    <row r="21" spans="1:8" x14ac:dyDescent="0.25">
      <c r="A21">
        <v>1187612015</v>
      </c>
      <c r="B21" t="s">
        <v>21</v>
      </c>
      <c r="C21">
        <v>-6.1111111111111102E-2</v>
      </c>
      <c r="D21">
        <v>-2.57194743792363</v>
      </c>
      <c r="E21">
        <v>4.9917216420861499E-2</v>
      </c>
      <c r="F21">
        <v>6</v>
      </c>
      <c r="G21" t="str">
        <f>VLOOKUP(A21,[1]inrix_key!$A:$C,3,FALSE)</f>
        <v>Chinden_W</v>
      </c>
      <c r="H21">
        <f t="shared" si="0"/>
        <v>-3.6666666666666661</v>
      </c>
    </row>
    <row r="22" spans="1:8" x14ac:dyDescent="0.25">
      <c r="A22">
        <v>448694757</v>
      </c>
      <c r="B22" t="s">
        <v>20</v>
      </c>
      <c r="C22">
        <v>-6.0407407407407299E-2</v>
      </c>
      <c r="D22">
        <v>-3.6391952817630902</v>
      </c>
      <c r="E22">
        <v>1.189044052133E-3</v>
      </c>
      <c r="F22">
        <v>27</v>
      </c>
      <c r="G22" t="str">
        <f>VLOOKUP(A22,[1]inrix_key!$A:$C,3,FALSE)</f>
        <v>Ustick_W</v>
      </c>
      <c r="H22">
        <f t="shared" si="0"/>
        <v>-3.6244444444444381</v>
      </c>
    </row>
    <row r="23" spans="1:8" x14ac:dyDescent="0.25">
      <c r="A23">
        <v>1187577122</v>
      </c>
      <c r="B23" t="s">
        <v>22</v>
      </c>
      <c r="C23">
        <v>-5.98124999999999E-2</v>
      </c>
      <c r="D23">
        <v>-2.7401926825436802</v>
      </c>
      <c r="E23">
        <v>2.8910137504353599E-2</v>
      </c>
      <c r="F23">
        <v>8</v>
      </c>
      <c r="G23" t="str">
        <f>VLOOKUP(A23,[1]inrix_key!$A:$C,3,FALSE)</f>
        <v>Chinden_E</v>
      </c>
      <c r="H23">
        <f t="shared" si="0"/>
        <v>-3.5887499999999939</v>
      </c>
    </row>
    <row r="24" spans="1:8" x14ac:dyDescent="0.25">
      <c r="A24">
        <v>119241469</v>
      </c>
      <c r="B24" t="s">
        <v>22</v>
      </c>
      <c r="C24">
        <v>-5.9354166666666597E-2</v>
      </c>
      <c r="D24">
        <v>-2.36212161611479</v>
      </c>
      <c r="E24">
        <v>5.01844101516059E-2</v>
      </c>
      <c r="F24">
        <v>8</v>
      </c>
      <c r="G24" t="str">
        <f>VLOOKUP(A24,[1]inrix_key!$A:$C,3,FALSE)</f>
        <v>Colchester_W</v>
      </c>
      <c r="H24">
        <f t="shared" si="0"/>
        <v>-3.5612499999999958</v>
      </c>
    </row>
    <row r="25" spans="1:8" x14ac:dyDescent="0.25">
      <c r="A25">
        <v>119241469</v>
      </c>
      <c r="B25" t="s">
        <v>20</v>
      </c>
      <c r="C25">
        <v>-5.3784313725490203E-2</v>
      </c>
      <c r="D25">
        <v>-2.5896546078245901</v>
      </c>
      <c r="E25">
        <v>1.9751323616459E-2</v>
      </c>
      <c r="F25">
        <v>17</v>
      </c>
      <c r="G25" t="str">
        <f>VLOOKUP(A25,[1]inrix_key!$A:$C,3,FALSE)</f>
        <v>Colchester_W</v>
      </c>
      <c r="H25">
        <f t="shared" si="0"/>
        <v>-3.2270588235294122</v>
      </c>
    </row>
    <row r="26" spans="1:8" x14ac:dyDescent="0.25">
      <c r="A26">
        <v>1187548987</v>
      </c>
      <c r="B26" t="s">
        <v>22</v>
      </c>
      <c r="C26">
        <v>-5.1999999999999998E-2</v>
      </c>
      <c r="D26">
        <v>-2.6699286454600601</v>
      </c>
      <c r="E26">
        <v>3.2002999679494701E-2</v>
      </c>
      <c r="F26">
        <v>8</v>
      </c>
      <c r="G26" t="str">
        <f>VLOOKUP(A26,[1]inrix_key!$A:$C,3,FALSE)</f>
        <v>McMillan_S</v>
      </c>
      <c r="H26">
        <f t="shared" si="0"/>
        <v>-3.1199999999999997</v>
      </c>
    </row>
    <row r="27" spans="1:8" x14ac:dyDescent="0.25">
      <c r="A27">
        <v>1187586311</v>
      </c>
      <c r="B27" t="s">
        <v>22</v>
      </c>
      <c r="C27">
        <v>-4.64375E-2</v>
      </c>
      <c r="D27">
        <v>-3.5156010738428698</v>
      </c>
      <c r="E27">
        <v>9.7853638351345692E-3</v>
      </c>
      <c r="F27">
        <v>8</v>
      </c>
      <c r="G27" t="str">
        <f>VLOOKUP(A27,[1]inrix_key!$A:$C,3,FALSE)</f>
        <v>EB_W</v>
      </c>
      <c r="H27">
        <f t="shared" si="0"/>
        <v>-2.7862499999999999</v>
      </c>
    </row>
    <row r="28" spans="1:8" x14ac:dyDescent="0.25">
      <c r="A28">
        <v>1187635580</v>
      </c>
      <c r="B28" t="s">
        <v>22</v>
      </c>
      <c r="C28">
        <v>-4.4999999999999901E-2</v>
      </c>
      <c r="D28">
        <v>-3.81979566323955</v>
      </c>
      <c r="E28">
        <v>6.5439921292161198E-3</v>
      </c>
      <c r="F28">
        <v>8</v>
      </c>
      <c r="G28" t="str">
        <f>VLOOKUP(A28,[1]inrix_key!$A:$C,3,FALSE)</f>
        <v>WB_S</v>
      </c>
      <c r="H28">
        <f t="shared" si="0"/>
        <v>-2.699999999999994</v>
      </c>
    </row>
    <row r="29" spans="1:8" x14ac:dyDescent="0.25">
      <c r="A29">
        <v>448725595</v>
      </c>
      <c r="B29" t="s">
        <v>21</v>
      </c>
      <c r="C29">
        <v>-4.2583333333333299E-2</v>
      </c>
      <c r="D29">
        <v>-3.6987897715960201</v>
      </c>
      <c r="E29">
        <v>1.4017011549205E-2</v>
      </c>
      <c r="F29">
        <v>6</v>
      </c>
      <c r="G29" t="str">
        <f>VLOOKUP(A29,[1]inrix_key!$A:$C,3,FALSE)</f>
        <v>StLukes_S</v>
      </c>
      <c r="H29">
        <f t="shared" si="0"/>
        <v>-2.5549999999999979</v>
      </c>
    </row>
    <row r="30" spans="1:8" x14ac:dyDescent="0.25">
      <c r="A30">
        <v>119241469</v>
      </c>
      <c r="B30" t="s">
        <v>19</v>
      </c>
      <c r="C30">
        <v>-4.1875000000000002E-2</v>
      </c>
      <c r="D30">
        <v>-3.4313705244779702</v>
      </c>
      <c r="E30">
        <v>1.09647966685292E-2</v>
      </c>
      <c r="F30">
        <v>8</v>
      </c>
      <c r="G30" t="str">
        <f>VLOOKUP(A30,[1]inrix_key!$A:$C,3,FALSE)</f>
        <v>Colchester_W</v>
      </c>
      <c r="H30">
        <f t="shared" si="0"/>
        <v>-2.5125000000000002</v>
      </c>
    </row>
    <row r="31" spans="1:8" x14ac:dyDescent="0.25">
      <c r="A31">
        <v>448697010</v>
      </c>
      <c r="B31" t="s">
        <v>20</v>
      </c>
      <c r="C31">
        <v>-3.70135135135135E-2</v>
      </c>
      <c r="D31">
        <v>-2.5589015486810598</v>
      </c>
      <c r="E31">
        <v>1.4849171245264201E-2</v>
      </c>
      <c r="F31">
        <v>37</v>
      </c>
      <c r="G31" t="str">
        <f>VLOOKUP(A31,[1]inrix_key!$A:$C,3,FALSE)</f>
        <v>RiverValley_N</v>
      </c>
      <c r="H31">
        <f t="shared" si="0"/>
        <v>-2.2208108108108102</v>
      </c>
    </row>
    <row r="32" spans="1:8" x14ac:dyDescent="0.25">
      <c r="A32">
        <v>1187577122</v>
      </c>
      <c r="B32" t="s">
        <v>18</v>
      </c>
      <c r="C32">
        <v>-3.6249999999999998E-2</v>
      </c>
      <c r="D32">
        <v>-1.3778315806221799</v>
      </c>
      <c r="E32">
        <v>0.26204408274887497</v>
      </c>
      <c r="F32">
        <v>4</v>
      </c>
      <c r="G32" t="str">
        <f>VLOOKUP(A32,[1]inrix_key!$A:$C,3,FALSE)</f>
        <v>Chinden_E</v>
      </c>
      <c r="H32">
        <f t="shared" si="0"/>
        <v>-2.1749999999999998</v>
      </c>
    </row>
    <row r="33" spans="1:8" x14ac:dyDescent="0.25">
      <c r="A33">
        <v>428958435</v>
      </c>
      <c r="B33" t="s">
        <v>19</v>
      </c>
      <c r="C33">
        <v>-3.62499999999999E-2</v>
      </c>
      <c r="D33">
        <v>-4.9424068926097302</v>
      </c>
      <c r="E33">
        <v>1.67057222786851E-3</v>
      </c>
      <c r="F33">
        <v>8</v>
      </c>
      <c r="G33">
        <f>VLOOKUP(A33,[1]inrix_key!$A:$C,3,FALSE)</f>
        <v>0</v>
      </c>
      <c r="H33">
        <f t="shared" si="0"/>
        <v>-2.174999999999994</v>
      </c>
    </row>
    <row r="34" spans="1:8" x14ac:dyDescent="0.25">
      <c r="A34">
        <v>428958434</v>
      </c>
      <c r="B34" t="s">
        <v>22</v>
      </c>
      <c r="C34">
        <v>-3.59374999999999E-2</v>
      </c>
      <c r="D34">
        <v>-5.7848554603729996</v>
      </c>
      <c r="E34">
        <v>6.7389376667038002E-4</v>
      </c>
      <c r="F34">
        <v>8</v>
      </c>
      <c r="G34">
        <f>VLOOKUP(A34,[1]inrix_key!$A:$C,3,FALSE)</f>
        <v>0</v>
      </c>
      <c r="H34">
        <f t="shared" si="0"/>
        <v>-2.1562499999999938</v>
      </c>
    </row>
    <row r="35" spans="1:8" x14ac:dyDescent="0.25">
      <c r="A35">
        <v>1187333665</v>
      </c>
      <c r="B35" t="s">
        <v>21</v>
      </c>
      <c r="C35">
        <v>-3.58333333333333E-2</v>
      </c>
      <c r="D35">
        <v>-5.7206349050445597</v>
      </c>
      <c r="E35">
        <v>1.06001760462009E-2</v>
      </c>
      <c r="F35">
        <v>4</v>
      </c>
      <c r="G35" t="str">
        <f>VLOOKUP(A35,[1]inrix_key!$A:$C,3,FALSE)</f>
        <v>Chinden_N</v>
      </c>
      <c r="H35">
        <f t="shared" si="0"/>
        <v>-2.1499999999999981</v>
      </c>
    </row>
    <row r="36" spans="1:8" x14ac:dyDescent="0.25">
      <c r="A36">
        <v>448725597</v>
      </c>
      <c r="B36" t="s">
        <v>20</v>
      </c>
      <c r="C36">
        <v>-3.5744047619047599E-2</v>
      </c>
      <c r="D36">
        <v>-2.1162026711859898</v>
      </c>
      <c r="E36">
        <v>4.3691447280917603E-2</v>
      </c>
      <c r="F36">
        <v>28</v>
      </c>
      <c r="G36" t="str">
        <f>VLOOKUP(A36,[1]inrix_key!$A:$C,3,FALSE)</f>
        <v>Ustick_E</v>
      </c>
      <c r="H36">
        <f t="shared" si="0"/>
        <v>-2.144642857142856</v>
      </c>
    </row>
    <row r="37" spans="1:8" x14ac:dyDescent="0.25">
      <c r="A37">
        <v>448697009</v>
      </c>
      <c r="B37" t="s">
        <v>20</v>
      </c>
      <c r="C37">
        <v>-3.4783783783783703E-2</v>
      </c>
      <c r="D37">
        <v>-2.18221646490692</v>
      </c>
      <c r="E37">
        <v>3.5700532468307997E-2</v>
      </c>
      <c r="F37">
        <v>37</v>
      </c>
      <c r="G37" t="str">
        <f>VLOOKUP(A37,[1]inrix_key!$A:$C,3,FALSE)</f>
        <v>Ustick_S</v>
      </c>
      <c r="H37">
        <f t="shared" si="0"/>
        <v>-2.0870270270270224</v>
      </c>
    </row>
    <row r="38" spans="1:8" x14ac:dyDescent="0.25">
      <c r="A38">
        <v>1187548975</v>
      </c>
      <c r="B38" t="s">
        <v>18</v>
      </c>
      <c r="C38">
        <v>-3.2777777777777697E-2</v>
      </c>
      <c r="D38">
        <v>-1.1339864984416399</v>
      </c>
      <c r="E38">
        <v>0.37442550293575899</v>
      </c>
      <c r="F38">
        <v>3</v>
      </c>
      <c r="G38" t="str">
        <f>VLOOKUP(A38,[1]inrix_key!$A:$C,3,FALSE)</f>
        <v>Pine_S</v>
      </c>
      <c r="H38">
        <f t="shared" si="0"/>
        <v>-1.9666666666666619</v>
      </c>
    </row>
    <row r="39" spans="1:8" x14ac:dyDescent="0.25">
      <c r="A39">
        <v>119241469</v>
      </c>
      <c r="B39" t="s">
        <v>17</v>
      </c>
      <c r="C39">
        <v>-3.2656249999999998E-2</v>
      </c>
      <c r="D39">
        <v>-2.47131076259909</v>
      </c>
      <c r="E39">
        <v>2.59315596391687E-2</v>
      </c>
      <c r="F39">
        <v>16</v>
      </c>
      <c r="G39" t="str">
        <f>VLOOKUP(A39,[1]inrix_key!$A:$C,3,FALSE)</f>
        <v>Colchester_W</v>
      </c>
      <c r="H39">
        <f t="shared" si="0"/>
        <v>-1.9593749999999999</v>
      </c>
    </row>
    <row r="40" spans="1:8" x14ac:dyDescent="0.25">
      <c r="A40">
        <v>448694747</v>
      </c>
      <c r="B40" t="s">
        <v>22</v>
      </c>
      <c r="C40">
        <v>-3.2249999999999897E-2</v>
      </c>
      <c r="D40">
        <v>-2.47847879612821</v>
      </c>
      <c r="E40">
        <v>4.2304261911602303E-2</v>
      </c>
      <c r="F40">
        <v>8</v>
      </c>
      <c r="G40" t="str">
        <f>VLOOKUP(A40,[1]inrix_key!$A:$C,3,FALSE)</f>
        <v>Fairview_W</v>
      </c>
      <c r="H40">
        <f t="shared" si="0"/>
        <v>-1.9349999999999938</v>
      </c>
    </row>
    <row r="41" spans="1:8" x14ac:dyDescent="0.25">
      <c r="A41">
        <v>448725599</v>
      </c>
      <c r="B41" t="s">
        <v>17</v>
      </c>
      <c r="C41">
        <v>-3.1607142857142799E-2</v>
      </c>
      <c r="D41">
        <v>-2.93577009397305</v>
      </c>
      <c r="E41">
        <v>6.7214728370126398E-3</v>
      </c>
      <c r="F41">
        <v>28</v>
      </c>
      <c r="G41" t="str">
        <f>VLOOKUP(A41,[1]inrix_key!$A:$C,3,FALSE)</f>
        <v>Chinden_S</v>
      </c>
      <c r="H41">
        <f t="shared" si="0"/>
        <v>-1.896428571428568</v>
      </c>
    </row>
    <row r="42" spans="1:8" x14ac:dyDescent="0.25">
      <c r="A42">
        <v>448697011</v>
      </c>
      <c r="B42" t="s">
        <v>22</v>
      </c>
      <c r="C42">
        <v>-2.9374999999999901E-2</v>
      </c>
      <c r="D42">
        <v>-1.6193478605509599</v>
      </c>
      <c r="E42">
        <v>0.149404523876767</v>
      </c>
      <c r="F42">
        <v>8</v>
      </c>
      <c r="G42" t="str">
        <f>VLOOKUP(A42,[1]inrix_key!$A:$C,3,FALSE)</f>
        <v>Fairview_N</v>
      </c>
      <c r="H42">
        <f t="shared" si="0"/>
        <v>-1.762499999999994</v>
      </c>
    </row>
    <row r="43" spans="1:8" x14ac:dyDescent="0.25">
      <c r="A43">
        <v>448725597</v>
      </c>
      <c r="B43" t="s">
        <v>19</v>
      </c>
      <c r="C43">
        <v>-2.8958333333333301E-2</v>
      </c>
      <c r="D43">
        <v>-0.85380807768407097</v>
      </c>
      <c r="E43">
        <v>0.42146511467783498</v>
      </c>
      <c r="F43">
        <v>8</v>
      </c>
      <c r="G43" t="str">
        <f>VLOOKUP(A43,[1]inrix_key!$A:$C,3,FALSE)</f>
        <v>Ustick_E</v>
      </c>
      <c r="H43">
        <f t="shared" si="0"/>
        <v>-1.737499999999998</v>
      </c>
    </row>
    <row r="44" spans="1:8" x14ac:dyDescent="0.25">
      <c r="A44">
        <v>384121516</v>
      </c>
      <c r="B44" t="s">
        <v>20</v>
      </c>
      <c r="C44">
        <v>-2.8938888888888799E-2</v>
      </c>
      <c r="D44">
        <v>-2.9696787551675299</v>
      </c>
      <c r="E44">
        <v>5.9305314714605999E-3</v>
      </c>
      <c r="F44">
        <v>30</v>
      </c>
      <c r="G44" t="str">
        <f>VLOOKUP(A44,[1]inrix_key!$A:$C,3,FALSE)</f>
        <v>McMillan_W</v>
      </c>
      <c r="H44">
        <f t="shared" si="0"/>
        <v>-1.736333333333328</v>
      </c>
    </row>
    <row r="45" spans="1:8" x14ac:dyDescent="0.25">
      <c r="A45">
        <v>448725596</v>
      </c>
      <c r="B45" t="s">
        <v>21</v>
      </c>
      <c r="C45">
        <v>-2.8527777777777701E-2</v>
      </c>
      <c r="D45">
        <v>-1.48912879905192</v>
      </c>
      <c r="E45">
        <v>0.19662931978199999</v>
      </c>
      <c r="F45">
        <v>6</v>
      </c>
      <c r="G45" t="str">
        <f>VLOOKUP(A45,[1]inrix_key!$A:$C,3,FALSE)</f>
        <v>Franklin_S</v>
      </c>
      <c r="H45">
        <f t="shared" si="0"/>
        <v>-1.711666666666662</v>
      </c>
    </row>
    <row r="46" spans="1:8" x14ac:dyDescent="0.25">
      <c r="A46">
        <v>448725599</v>
      </c>
      <c r="B46" t="s">
        <v>19</v>
      </c>
      <c r="C46">
        <v>-2.74999999999999E-2</v>
      </c>
      <c r="D46">
        <v>-3.4121271494258201</v>
      </c>
      <c r="E46">
        <v>1.1255216457713799E-2</v>
      </c>
      <c r="F46">
        <v>8</v>
      </c>
      <c r="G46" t="str">
        <f>VLOOKUP(A46,[1]inrix_key!$A:$C,3,FALSE)</f>
        <v>Chinden_S</v>
      </c>
      <c r="H46">
        <f t="shared" si="0"/>
        <v>-1.6499999999999939</v>
      </c>
    </row>
    <row r="47" spans="1:8" x14ac:dyDescent="0.25">
      <c r="A47">
        <v>448697011</v>
      </c>
      <c r="B47" t="s">
        <v>20</v>
      </c>
      <c r="C47">
        <v>-2.63796296296296E-2</v>
      </c>
      <c r="D47">
        <v>-2.6203688478382499</v>
      </c>
      <c r="E47">
        <v>1.29048650415855E-2</v>
      </c>
      <c r="F47">
        <v>36</v>
      </c>
      <c r="G47" t="str">
        <f>VLOOKUP(A47,[1]inrix_key!$A:$C,3,FALSE)</f>
        <v>Fairview_N</v>
      </c>
      <c r="H47">
        <f t="shared" si="0"/>
        <v>-1.5827777777777761</v>
      </c>
    </row>
    <row r="48" spans="1:8" x14ac:dyDescent="0.25">
      <c r="A48">
        <v>448697008</v>
      </c>
      <c r="B48" t="s">
        <v>21</v>
      </c>
      <c r="C48">
        <v>-2.5999999999999999E-2</v>
      </c>
      <c r="D48">
        <v>-1.3579600388640301</v>
      </c>
      <c r="E48">
        <v>0.23254120426057501</v>
      </c>
      <c r="F48">
        <v>6</v>
      </c>
      <c r="G48" t="str">
        <f>VLOOKUP(A48,[1]inrix_key!$A:$C,3,FALSE)</f>
        <v>RiverValley_S</v>
      </c>
      <c r="H48">
        <f t="shared" si="0"/>
        <v>-1.5599999999999998</v>
      </c>
    </row>
    <row r="49" spans="1:8" x14ac:dyDescent="0.25">
      <c r="A49">
        <v>1187517040</v>
      </c>
      <c r="B49" t="s">
        <v>22</v>
      </c>
      <c r="C49">
        <v>-2.5437499999999998E-2</v>
      </c>
      <c r="D49">
        <v>-2.4028098525866799</v>
      </c>
      <c r="E49">
        <v>4.7270612812690301E-2</v>
      </c>
      <c r="F49">
        <v>8</v>
      </c>
      <c r="G49" t="str">
        <f>VLOOKUP(A49,[1]inrix_key!$A:$C,3,FALSE)</f>
        <v>Wainwright_S</v>
      </c>
      <c r="H49">
        <f t="shared" si="0"/>
        <v>-1.5262499999999999</v>
      </c>
    </row>
    <row r="50" spans="1:8" x14ac:dyDescent="0.25">
      <c r="A50">
        <v>1187579027</v>
      </c>
      <c r="B50" t="s">
        <v>18</v>
      </c>
      <c r="C50">
        <v>-2.5000000000000001E-2</v>
      </c>
      <c r="D50">
        <v>-0.81325006079044504</v>
      </c>
      <c r="E50">
        <v>0.46170930324737097</v>
      </c>
      <c r="F50">
        <v>5</v>
      </c>
      <c r="G50" t="str">
        <f>VLOOKUP(A50,[1]inrix_key!$A:$C,3,FALSE)</f>
        <v>Fairview_E</v>
      </c>
      <c r="H50">
        <f t="shared" si="0"/>
        <v>-1.5</v>
      </c>
    </row>
    <row r="51" spans="1:8" x14ac:dyDescent="0.25">
      <c r="A51">
        <v>1187636735</v>
      </c>
      <c r="B51" t="s">
        <v>22</v>
      </c>
      <c r="C51">
        <v>-2.4937500000000001E-2</v>
      </c>
      <c r="D51">
        <v>-2.3185641804890502</v>
      </c>
      <c r="E51">
        <v>5.3507491183978198E-2</v>
      </c>
      <c r="F51">
        <v>8</v>
      </c>
      <c r="G51" t="str">
        <f>VLOOKUP(A51,[1]inrix_key!$A:$C,3,FALSE)</f>
        <v>WB_E</v>
      </c>
      <c r="H51">
        <f t="shared" si="0"/>
        <v>-1.4962500000000001</v>
      </c>
    </row>
    <row r="52" spans="1:8" x14ac:dyDescent="0.25">
      <c r="A52">
        <v>119501618</v>
      </c>
      <c r="B52" t="s">
        <v>22</v>
      </c>
      <c r="C52">
        <v>-2.44999999999999E-2</v>
      </c>
      <c r="D52">
        <v>-0.74000435233208295</v>
      </c>
      <c r="E52">
        <v>0.48337195015781298</v>
      </c>
      <c r="F52">
        <v>8</v>
      </c>
      <c r="G52" t="str">
        <f>VLOOKUP(A52,[1]inrix_key!$A:$C,3,FALSE)</f>
        <v>McMillan_N</v>
      </c>
      <c r="H52">
        <f t="shared" si="0"/>
        <v>-1.469999999999994</v>
      </c>
    </row>
    <row r="53" spans="1:8" x14ac:dyDescent="0.25">
      <c r="A53">
        <v>448694747</v>
      </c>
      <c r="B53" t="s">
        <v>18</v>
      </c>
      <c r="C53">
        <v>-2.37499999999999E-2</v>
      </c>
      <c r="D53">
        <v>-1.25922656314711</v>
      </c>
      <c r="E53">
        <v>0.29701183452223001</v>
      </c>
      <c r="F53">
        <v>4</v>
      </c>
      <c r="G53" t="str">
        <f>VLOOKUP(A53,[1]inrix_key!$A:$C,3,FALSE)</f>
        <v>Fairview_W</v>
      </c>
      <c r="H53">
        <f t="shared" si="0"/>
        <v>-1.424999999999994</v>
      </c>
    </row>
    <row r="54" spans="1:8" x14ac:dyDescent="0.25">
      <c r="A54">
        <v>448697007</v>
      </c>
      <c r="B54" t="s">
        <v>21</v>
      </c>
      <c r="C54">
        <v>-2.35555555555555E-2</v>
      </c>
      <c r="D54">
        <v>-1.57622778311282</v>
      </c>
      <c r="E54">
        <v>0.175796001953864</v>
      </c>
      <c r="F54">
        <v>6</v>
      </c>
      <c r="G54" t="str">
        <f>VLOOKUP(A54,[1]inrix_key!$A:$C,3,FALSE)</f>
        <v>WB_N</v>
      </c>
      <c r="H54">
        <f t="shared" si="0"/>
        <v>-1.41333333333333</v>
      </c>
    </row>
    <row r="55" spans="1:8" x14ac:dyDescent="0.25">
      <c r="A55">
        <v>428958434</v>
      </c>
      <c r="B55" t="s">
        <v>19</v>
      </c>
      <c r="C55">
        <v>-2.3124999999999899E-2</v>
      </c>
      <c r="D55">
        <v>-2.5018608358707701</v>
      </c>
      <c r="E55">
        <v>4.0880761417063802E-2</v>
      </c>
      <c r="F55">
        <v>8</v>
      </c>
      <c r="G55">
        <f>VLOOKUP(A55,[1]inrix_key!$A:$C,3,FALSE)</f>
        <v>0</v>
      </c>
      <c r="H55">
        <f t="shared" si="0"/>
        <v>-1.387499999999994</v>
      </c>
    </row>
    <row r="56" spans="1:8" x14ac:dyDescent="0.25">
      <c r="A56">
        <v>448697009</v>
      </c>
      <c r="B56" t="s">
        <v>19</v>
      </c>
      <c r="C56">
        <v>-2.2812499999999899E-2</v>
      </c>
      <c r="D56">
        <v>-0.57867035464771099</v>
      </c>
      <c r="E56">
        <v>0.58094472713374701</v>
      </c>
      <c r="F56">
        <v>8</v>
      </c>
      <c r="G56" t="str">
        <f>VLOOKUP(A56,[1]inrix_key!$A:$C,3,FALSE)</f>
        <v>Ustick_S</v>
      </c>
      <c r="H56">
        <f t="shared" si="0"/>
        <v>-1.3687499999999939</v>
      </c>
    </row>
    <row r="57" spans="1:8" x14ac:dyDescent="0.25">
      <c r="A57">
        <v>1187377510</v>
      </c>
      <c r="B57" t="s">
        <v>17</v>
      </c>
      <c r="C57">
        <v>-2.09677419354838E-2</v>
      </c>
      <c r="D57">
        <v>-3.3132446524010999</v>
      </c>
      <c r="E57">
        <v>2.41448779450494E-3</v>
      </c>
      <c r="F57">
        <v>31</v>
      </c>
      <c r="G57" t="str">
        <f>VLOOKUP(A57,[1]inrix_key!$A:$C,3,FALSE)</f>
        <v>EB_S</v>
      </c>
      <c r="H57">
        <f t="shared" si="0"/>
        <v>-1.258064516129028</v>
      </c>
    </row>
    <row r="58" spans="1:8" x14ac:dyDescent="0.25">
      <c r="A58">
        <v>1187334983</v>
      </c>
      <c r="B58" t="s">
        <v>22</v>
      </c>
      <c r="C58">
        <v>-2.0250000000000001E-2</v>
      </c>
      <c r="D58">
        <v>-0.411651937239633</v>
      </c>
      <c r="E58">
        <v>0.69290684140627801</v>
      </c>
      <c r="F58">
        <v>8</v>
      </c>
      <c r="G58" t="str">
        <f>VLOOKUP(A58,[1]inrix_key!$A:$C,3,FALSE)</f>
        <v>Wainwright_N</v>
      </c>
      <c r="H58">
        <f t="shared" si="0"/>
        <v>-1.2150000000000001</v>
      </c>
    </row>
    <row r="59" spans="1:8" x14ac:dyDescent="0.25">
      <c r="A59">
        <v>428958434</v>
      </c>
      <c r="B59" t="s">
        <v>18</v>
      </c>
      <c r="C59">
        <v>-0.02</v>
      </c>
      <c r="D59">
        <v>-1.4846149779161799</v>
      </c>
      <c r="E59">
        <v>0.27593381196178302</v>
      </c>
      <c r="F59">
        <v>3</v>
      </c>
      <c r="G59">
        <f>VLOOKUP(A59,[1]inrix_key!$A:$C,3,FALSE)</f>
        <v>0</v>
      </c>
      <c r="H59">
        <f t="shared" si="0"/>
        <v>-1.2</v>
      </c>
    </row>
    <row r="60" spans="1:8" x14ac:dyDescent="0.25">
      <c r="A60">
        <v>448695754</v>
      </c>
      <c r="B60" t="s">
        <v>21</v>
      </c>
      <c r="C60">
        <v>-0.02</v>
      </c>
      <c r="D60">
        <v>-1.30930734141595</v>
      </c>
      <c r="E60">
        <v>0.32063377951324201</v>
      </c>
      <c r="F60">
        <v>3</v>
      </c>
      <c r="G60" t="str">
        <f>VLOOKUP(A60,[1]inrix_key!$A:$C,3,FALSE)</f>
        <v>State_S</v>
      </c>
      <c r="H60">
        <f t="shared" si="0"/>
        <v>-1.2</v>
      </c>
    </row>
    <row r="61" spans="1:8" x14ac:dyDescent="0.25">
      <c r="A61">
        <v>1187335042</v>
      </c>
      <c r="B61" t="s">
        <v>21</v>
      </c>
      <c r="C61">
        <v>-1.94444444444444E-2</v>
      </c>
      <c r="D61">
        <v>-1.01675901494312</v>
      </c>
      <c r="E61">
        <v>0.35591581647399401</v>
      </c>
      <c r="F61">
        <v>6</v>
      </c>
      <c r="G61" t="str">
        <f>VLOOKUP(A61,[1]inrix_key!$A:$C,3,FALSE)</f>
        <v>Ustick_N</v>
      </c>
      <c r="H61">
        <f t="shared" si="0"/>
        <v>-1.1666666666666641</v>
      </c>
    </row>
    <row r="62" spans="1:8" x14ac:dyDescent="0.25">
      <c r="A62">
        <v>428958434</v>
      </c>
      <c r="B62" t="s">
        <v>21</v>
      </c>
      <c r="C62">
        <v>-1.83E-2</v>
      </c>
      <c r="D62">
        <v>-2.22958985114367</v>
      </c>
      <c r="E62">
        <v>8.9651739105995207E-2</v>
      </c>
      <c r="F62">
        <v>5</v>
      </c>
      <c r="G62">
        <f>VLOOKUP(A62,[1]inrix_key!$A:$C,3,FALSE)</f>
        <v>0</v>
      </c>
      <c r="H62">
        <f t="shared" si="0"/>
        <v>-1.0980000000000001</v>
      </c>
    </row>
    <row r="63" spans="1:8" x14ac:dyDescent="0.25">
      <c r="A63">
        <v>448697011</v>
      </c>
      <c r="B63" t="s">
        <v>21</v>
      </c>
      <c r="C63">
        <v>-1.8055555555555498E-2</v>
      </c>
      <c r="D63">
        <v>-0.73855053501279799</v>
      </c>
      <c r="E63">
        <v>0.49336664851178602</v>
      </c>
      <c r="F63">
        <v>6</v>
      </c>
      <c r="G63" t="str">
        <f>VLOOKUP(A63,[1]inrix_key!$A:$C,3,FALSE)</f>
        <v>Fairview_N</v>
      </c>
      <c r="H63">
        <f t="shared" si="0"/>
        <v>-1.0833333333333299</v>
      </c>
    </row>
    <row r="64" spans="1:8" x14ac:dyDescent="0.25">
      <c r="A64">
        <v>448697006</v>
      </c>
      <c r="B64" t="s">
        <v>22</v>
      </c>
      <c r="C64">
        <v>-1.7999999999999999E-2</v>
      </c>
      <c r="D64">
        <v>-1.3724515112715601</v>
      </c>
      <c r="E64">
        <v>0.21228018122046599</v>
      </c>
      <c r="F64">
        <v>8</v>
      </c>
      <c r="G64" t="str">
        <f>VLOOKUP(A64,[1]inrix_key!$A:$C,3,FALSE)</f>
        <v>StLukes_N</v>
      </c>
      <c r="H64">
        <f t="shared" si="0"/>
        <v>-1.0799999999999998</v>
      </c>
    </row>
    <row r="65" spans="1:8" x14ac:dyDescent="0.25">
      <c r="A65">
        <v>448695754</v>
      </c>
      <c r="B65" t="s">
        <v>22</v>
      </c>
      <c r="C65">
        <v>-1.7812499999999998E-2</v>
      </c>
      <c r="D65">
        <v>-1.14634406368965</v>
      </c>
      <c r="E65">
        <v>0.28932343549193601</v>
      </c>
      <c r="F65">
        <v>8</v>
      </c>
      <c r="G65" t="str">
        <f>VLOOKUP(A65,[1]inrix_key!$A:$C,3,FALSE)</f>
        <v>State_S</v>
      </c>
      <c r="H65">
        <f t="shared" si="0"/>
        <v>-1.0687499999999999</v>
      </c>
    </row>
    <row r="66" spans="1:8" x14ac:dyDescent="0.25">
      <c r="A66">
        <v>448695751</v>
      </c>
      <c r="B66" t="s">
        <v>21</v>
      </c>
      <c r="C66">
        <v>-1.7624999999999998E-2</v>
      </c>
      <c r="D66">
        <v>-1.23533797956349</v>
      </c>
      <c r="E66">
        <v>0.30462699719632602</v>
      </c>
      <c r="F66">
        <v>4</v>
      </c>
      <c r="G66" t="str">
        <f>VLOOKUP(A66,[1]inrix_key!$A:$C,3,FALSE)</f>
        <v>Riverside_N</v>
      </c>
      <c r="H66">
        <f t="shared" ref="H66:H129" si="1">60*C66</f>
        <v>-1.0574999999999999</v>
      </c>
    </row>
    <row r="67" spans="1:8" x14ac:dyDescent="0.25">
      <c r="A67">
        <v>1187577122</v>
      </c>
      <c r="B67" t="s">
        <v>21</v>
      </c>
      <c r="C67">
        <v>-1.7499999999999901E-2</v>
      </c>
      <c r="D67">
        <v>-1.4351013217300901</v>
      </c>
      <c r="E67">
        <v>0.224584225166022</v>
      </c>
      <c r="F67">
        <v>5</v>
      </c>
      <c r="G67" t="str">
        <f>VLOOKUP(A67,[1]inrix_key!$A:$C,3,FALSE)</f>
        <v>Chinden_E</v>
      </c>
      <c r="H67">
        <f t="shared" si="1"/>
        <v>-1.049999999999994</v>
      </c>
    </row>
    <row r="68" spans="1:8" x14ac:dyDescent="0.25">
      <c r="A68">
        <v>1187654609</v>
      </c>
      <c r="B68" t="s">
        <v>21</v>
      </c>
      <c r="C68">
        <v>-1.7305555555555501E-2</v>
      </c>
      <c r="D68">
        <v>-0.61797497367704002</v>
      </c>
      <c r="E68">
        <v>0.56364980585017999</v>
      </c>
      <c r="F68">
        <v>6</v>
      </c>
      <c r="G68" t="str">
        <f>VLOOKUP(A68,[1]inrix_key!$A:$C,3,FALSE)</f>
        <v>Pine_N</v>
      </c>
      <c r="H68">
        <f t="shared" si="1"/>
        <v>-1.03833333333333</v>
      </c>
    </row>
    <row r="69" spans="1:8" x14ac:dyDescent="0.25">
      <c r="A69">
        <v>474871675</v>
      </c>
      <c r="B69" t="s">
        <v>22</v>
      </c>
      <c r="C69">
        <v>-1.67499999999999E-2</v>
      </c>
      <c r="D69">
        <v>-0.99079888269976102</v>
      </c>
      <c r="E69">
        <v>0.35478870580734401</v>
      </c>
      <c r="F69">
        <v>8</v>
      </c>
      <c r="G69" t="str">
        <f>VLOOKUP(A69,[1]inrix_key!$A:$C,3,FALSE)</f>
        <v>McMillan_E</v>
      </c>
      <c r="H69">
        <f t="shared" si="1"/>
        <v>-1.0049999999999941</v>
      </c>
    </row>
    <row r="70" spans="1:8" x14ac:dyDescent="0.25">
      <c r="A70">
        <v>384121516</v>
      </c>
      <c r="B70" t="s">
        <v>22</v>
      </c>
      <c r="C70">
        <v>-1.6520833333333301E-2</v>
      </c>
      <c r="D70">
        <v>-1.0645413284266501</v>
      </c>
      <c r="E70">
        <v>0.32242036203005697</v>
      </c>
      <c r="F70">
        <v>8</v>
      </c>
      <c r="G70" t="str">
        <f>VLOOKUP(A70,[1]inrix_key!$A:$C,3,FALSE)</f>
        <v>McMillan_W</v>
      </c>
      <c r="H70">
        <f t="shared" si="1"/>
        <v>-0.99124999999999808</v>
      </c>
    </row>
    <row r="71" spans="1:8" x14ac:dyDescent="0.25">
      <c r="A71">
        <v>1187577122</v>
      </c>
      <c r="B71" t="s">
        <v>20</v>
      </c>
      <c r="C71">
        <v>-1.6452380952380899E-2</v>
      </c>
      <c r="D71">
        <v>-1.50267548733536</v>
      </c>
      <c r="E71">
        <v>0.142154836969418</v>
      </c>
      <c r="F71">
        <v>35</v>
      </c>
      <c r="G71" t="str">
        <f>VLOOKUP(A71,[1]inrix_key!$A:$C,3,FALSE)</f>
        <v>Chinden_E</v>
      </c>
      <c r="H71">
        <f t="shared" si="1"/>
        <v>-0.98714285714285399</v>
      </c>
    </row>
    <row r="72" spans="1:8" x14ac:dyDescent="0.25">
      <c r="A72">
        <v>1187377510</v>
      </c>
      <c r="B72" t="s">
        <v>20</v>
      </c>
      <c r="C72">
        <v>-1.5357843137254801E-2</v>
      </c>
      <c r="D72">
        <v>-2.7013453513234298</v>
      </c>
      <c r="E72">
        <v>1.0816906490175899E-2</v>
      </c>
      <c r="F72">
        <v>34</v>
      </c>
      <c r="G72" t="str">
        <f>VLOOKUP(A72,[1]inrix_key!$A:$C,3,FALSE)</f>
        <v>EB_S</v>
      </c>
      <c r="H72">
        <f t="shared" si="1"/>
        <v>-0.92147058823528805</v>
      </c>
    </row>
    <row r="73" spans="1:8" x14ac:dyDescent="0.25">
      <c r="A73">
        <v>484371307</v>
      </c>
      <c r="B73" t="s">
        <v>19</v>
      </c>
      <c r="C73">
        <v>-1.4583333333333301E-2</v>
      </c>
      <c r="D73">
        <v>-1.6136940549202301</v>
      </c>
      <c r="E73">
        <v>0.150628446246864</v>
      </c>
      <c r="F73">
        <v>8</v>
      </c>
      <c r="G73" t="str">
        <f>VLOOKUP(A73,[1]inrix_key!$A:$C,3,FALSE)</f>
        <v>Pine_E</v>
      </c>
      <c r="H73">
        <f t="shared" si="1"/>
        <v>-0.874999999999998</v>
      </c>
    </row>
    <row r="74" spans="1:8" x14ac:dyDescent="0.25">
      <c r="A74">
        <v>448697008</v>
      </c>
      <c r="B74" t="s">
        <v>20</v>
      </c>
      <c r="C74">
        <v>-1.4018018018018E-2</v>
      </c>
      <c r="D74">
        <v>-1.1922036716031299</v>
      </c>
      <c r="E74">
        <v>0.24098107812747399</v>
      </c>
      <c r="F74">
        <v>37</v>
      </c>
      <c r="G74" t="str">
        <f>VLOOKUP(A74,[1]inrix_key!$A:$C,3,FALSE)</f>
        <v>RiverValley_S</v>
      </c>
      <c r="H74">
        <f t="shared" si="1"/>
        <v>-0.84108108108108004</v>
      </c>
    </row>
    <row r="75" spans="1:8" x14ac:dyDescent="0.25">
      <c r="A75">
        <v>484371307</v>
      </c>
      <c r="B75" t="s">
        <v>22</v>
      </c>
      <c r="C75">
        <v>-1.35E-2</v>
      </c>
      <c r="D75">
        <v>-2.452736251488</v>
      </c>
      <c r="E75">
        <v>4.3930649425305099E-2</v>
      </c>
      <c r="F75">
        <v>8</v>
      </c>
      <c r="G75" t="str">
        <f>VLOOKUP(A75,[1]inrix_key!$A:$C,3,FALSE)</f>
        <v>Pine_E</v>
      </c>
      <c r="H75">
        <f t="shared" si="1"/>
        <v>-0.80999999999999994</v>
      </c>
    </row>
    <row r="76" spans="1:8" x14ac:dyDescent="0.25">
      <c r="A76">
        <v>1187635580</v>
      </c>
      <c r="B76" t="s">
        <v>20</v>
      </c>
      <c r="C76">
        <v>-1.33508771929824E-2</v>
      </c>
      <c r="D76">
        <v>-1.3848387598774501</v>
      </c>
      <c r="E76">
        <v>0.17439600902687799</v>
      </c>
      <c r="F76">
        <v>38</v>
      </c>
      <c r="G76" t="str">
        <f>VLOOKUP(A76,[1]inrix_key!$A:$C,3,FALSE)</f>
        <v>WB_S</v>
      </c>
      <c r="H76">
        <f t="shared" si="1"/>
        <v>-0.80105263157894402</v>
      </c>
    </row>
    <row r="77" spans="1:8" x14ac:dyDescent="0.25">
      <c r="A77">
        <v>428958433</v>
      </c>
      <c r="B77" t="s">
        <v>19</v>
      </c>
      <c r="C77">
        <v>-1.3125E-2</v>
      </c>
      <c r="D77">
        <v>-4.2</v>
      </c>
      <c r="E77">
        <v>4.0355599252199503E-3</v>
      </c>
      <c r="F77">
        <v>8</v>
      </c>
      <c r="G77" t="str">
        <f>VLOOKUP(A77,[1]inrix_key!$A:$C,3,FALSE)</f>
        <v>EB_S</v>
      </c>
      <c r="H77">
        <f t="shared" si="1"/>
        <v>-0.78749999999999998</v>
      </c>
    </row>
    <row r="78" spans="1:8" x14ac:dyDescent="0.25">
      <c r="A78">
        <v>1187635580</v>
      </c>
      <c r="B78" t="s">
        <v>17</v>
      </c>
      <c r="C78">
        <v>-1.2139639639639601E-2</v>
      </c>
      <c r="D78">
        <v>-1.17582400883643</v>
      </c>
      <c r="E78">
        <v>0.24738281127902401</v>
      </c>
      <c r="F78">
        <v>37</v>
      </c>
      <c r="G78" t="str">
        <f>VLOOKUP(A78,[1]inrix_key!$A:$C,3,FALSE)</f>
        <v>WB_S</v>
      </c>
      <c r="H78">
        <f t="shared" si="1"/>
        <v>-0.72837837837837605</v>
      </c>
    </row>
    <row r="79" spans="1:8" x14ac:dyDescent="0.25">
      <c r="A79">
        <v>1187579027</v>
      </c>
      <c r="B79" t="s">
        <v>20</v>
      </c>
      <c r="C79">
        <v>-1.17979797979798E-2</v>
      </c>
      <c r="D79">
        <v>-0.95896087873722502</v>
      </c>
      <c r="E79">
        <v>0.34476839131973103</v>
      </c>
      <c r="F79">
        <v>33</v>
      </c>
      <c r="G79" t="str">
        <f>VLOOKUP(A79,[1]inrix_key!$A:$C,3,FALSE)</f>
        <v>Fairview_E</v>
      </c>
      <c r="H79">
        <f t="shared" si="1"/>
        <v>-0.707878787878788</v>
      </c>
    </row>
    <row r="80" spans="1:8" x14ac:dyDescent="0.25">
      <c r="A80">
        <v>484371307</v>
      </c>
      <c r="B80" t="s">
        <v>17</v>
      </c>
      <c r="C80">
        <v>-1.1133333333333301E-2</v>
      </c>
      <c r="D80">
        <v>-2.4870607105570701</v>
      </c>
      <c r="E80">
        <v>2.0227912849967802E-2</v>
      </c>
      <c r="F80">
        <v>25</v>
      </c>
      <c r="G80" t="str">
        <f>VLOOKUP(A80,[1]inrix_key!$A:$C,3,FALSE)</f>
        <v>Pine_E</v>
      </c>
      <c r="H80">
        <f t="shared" si="1"/>
        <v>-0.66799999999999804</v>
      </c>
    </row>
    <row r="81" spans="1:8" x14ac:dyDescent="0.25">
      <c r="A81">
        <v>1187586311</v>
      </c>
      <c r="B81" t="s">
        <v>20</v>
      </c>
      <c r="C81">
        <v>-1.0225225225225201E-2</v>
      </c>
      <c r="D81">
        <v>-0.844969427217237</v>
      </c>
      <c r="E81">
        <v>0.40370876110034598</v>
      </c>
      <c r="F81">
        <v>37</v>
      </c>
      <c r="G81" t="str">
        <f>VLOOKUP(A81,[1]inrix_key!$A:$C,3,FALSE)</f>
        <v>EB_W</v>
      </c>
      <c r="H81">
        <f t="shared" si="1"/>
        <v>-0.61351351351351202</v>
      </c>
    </row>
    <row r="82" spans="1:8" x14ac:dyDescent="0.25">
      <c r="A82">
        <v>1187327938</v>
      </c>
      <c r="B82" t="s">
        <v>21</v>
      </c>
      <c r="C82">
        <v>-9.5833333333333309E-3</v>
      </c>
      <c r="D82">
        <v>-0.22406258700742501</v>
      </c>
      <c r="E82">
        <v>0.83710076121766397</v>
      </c>
      <c r="F82">
        <v>4</v>
      </c>
      <c r="G82" t="str">
        <f>VLOOKUP(A82,[1]inrix_key!$A:$C,3,FALSE)</f>
        <v>Franklin_W</v>
      </c>
      <c r="H82">
        <f t="shared" si="1"/>
        <v>-0.57499999999999984</v>
      </c>
    </row>
    <row r="83" spans="1:8" x14ac:dyDescent="0.25">
      <c r="A83">
        <v>1187335042</v>
      </c>
      <c r="B83" t="s">
        <v>17</v>
      </c>
      <c r="C83">
        <v>-9.2676767676767597E-3</v>
      </c>
      <c r="D83">
        <v>-0.43343600052063602</v>
      </c>
      <c r="E83">
        <v>0.66760597891250995</v>
      </c>
      <c r="F83">
        <v>33</v>
      </c>
      <c r="G83" t="str">
        <f>VLOOKUP(A83,[1]inrix_key!$A:$C,3,FALSE)</f>
        <v>Ustick_N</v>
      </c>
      <c r="H83">
        <f t="shared" si="1"/>
        <v>-0.55606060606060559</v>
      </c>
    </row>
    <row r="84" spans="1:8" x14ac:dyDescent="0.25">
      <c r="A84">
        <v>428958433</v>
      </c>
      <c r="B84" t="s">
        <v>21</v>
      </c>
      <c r="C84">
        <v>-8.7500000000000008E-3</v>
      </c>
      <c r="D84">
        <v>-1.1721057015904901</v>
      </c>
      <c r="E84">
        <v>0.32576571053495201</v>
      </c>
      <c r="F84">
        <v>4</v>
      </c>
      <c r="G84" t="str">
        <f>VLOOKUP(A84,[1]inrix_key!$A:$C,3,FALSE)</f>
        <v>EB_S</v>
      </c>
      <c r="H84">
        <f t="shared" si="1"/>
        <v>-0.52500000000000002</v>
      </c>
    </row>
    <row r="85" spans="1:8" x14ac:dyDescent="0.25">
      <c r="A85">
        <v>1187377510</v>
      </c>
      <c r="B85" t="s">
        <v>21</v>
      </c>
      <c r="C85">
        <v>-8.3333333333333297E-3</v>
      </c>
      <c r="D85">
        <v>-1.0570328451633799</v>
      </c>
      <c r="E85">
        <v>0.36808517347459202</v>
      </c>
      <c r="F85">
        <v>4</v>
      </c>
      <c r="G85" t="str">
        <f>VLOOKUP(A85,[1]inrix_key!$A:$C,3,FALSE)</f>
        <v>EB_S</v>
      </c>
      <c r="H85">
        <f t="shared" si="1"/>
        <v>-0.49999999999999978</v>
      </c>
    </row>
    <row r="86" spans="1:8" x14ac:dyDescent="0.25">
      <c r="A86">
        <v>448725599</v>
      </c>
      <c r="B86" t="s">
        <v>22</v>
      </c>
      <c r="C86">
        <v>-8.1250000000000298E-3</v>
      </c>
      <c r="D86">
        <v>-0.39991427946485902</v>
      </c>
      <c r="E86">
        <v>0.70114196675833096</v>
      </c>
      <c r="F86">
        <v>8</v>
      </c>
      <c r="G86" t="str">
        <f>VLOOKUP(A86,[1]inrix_key!$A:$C,3,FALSE)</f>
        <v>Chinden_S</v>
      </c>
      <c r="H86">
        <f t="shared" si="1"/>
        <v>-0.48750000000000177</v>
      </c>
    </row>
    <row r="87" spans="1:8" x14ac:dyDescent="0.25">
      <c r="A87">
        <v>448697006</v>
      </c>
      <c r="B87" t="s">
        <v>21</v>
      </c>
      <c r="C87">
        <v>-8.0555555555555398E-3</v>
      </c>
      <c r="D87">
        <v>-0.30601929000884798</v>
      </c>
      <c r="E87">
        <v>0.77192190507515102</v>
      </c>
      <c r="F87">
        <v>6</v>
      </c>
      <c r="G87" t="str">
        <f>VLOOKUP(A87,[1]inrix_key!$A:$C,3,FALSE)</f>
        <v>StLukes_N</v>
      </c>
      <c r="H87">
        <f t="shared" si="1"/>
        <v>-0.48333333333333239</v>
      </c>
    </row>
    <row r="88" spans="1:8" x14ac:dyDescent="0.25">
      <c r="A88">
        <v>1187577122</v>
      </c>
      <c r="B88" t="s">
        <v>19</v>
      </c>
      <c r="C88">
        <v>-7.8124999999999297E-3</v>
      </c>
      <c r="D88">
        <v>-0.715287400949568</v>
      </c>
      <c r="E88">
        <v>0.49758893074124599</v>
      </c>
      <c r="F88">
        <v>8</v>
      </c>
      <c r="G88" t="str">
        <f>VLOOKUP(A88,[1]inrix_key!$A:$C,3,FALSE)</f>
        <v>Chinden_E</v>
      </c>
      <c r="H88">
        <f t="shared" si="1"/>
        <v>-0.46874999999999578</v>
      </c>
    </row>
    <row r="89" spans="1:8" x14ac:dyDescent="0.25">
      <c r="A89">
        <v>448697007</v>
      </c>
      <c r="B89" t="s">
        <v>20</v>
      </c>
      <c r="C89">
        <v>-7.2000000000000102E-3</v>
      </c>
      <c r="D89">
        <v>-1.4154257964032899</v>
      </c>
      <c r="E89">
        <v>0.16603880988585701</v>
      </c>
      <c r="F89">
        <v>35</v>
      </c>
      <c r="G89" t="str">
        <f>VLOOKUP(A89,[1]inrix_key!$A:$C,3,FALSE)</f>
        <v>WB_N</v>
      </c>
      <c r="H89">
        <f t="shared" si="1"/>
        <v>-0.43200000000000061</v>
      </c>
    </row>
    <row r="90" spans="1:8" x14ac:dyDescent="0.25">
      <c r="A90">
        <v>1187549053</v>
      </c>
      <c r="B90" t="s">
        <v>21</v>
      </c>
      <c r="C90">
        <v>-7.1666666666666198E-3</v>
      </c>
      <c r="D90">
        <v>-0.27212464839129202</v>
      </c>
      <c r="E90">
        <v>0.80318016055470098</v>
      </c>
      <c r="F90">
        <v>4</v>
      </c>
      <c r="G90" t="str">
        <f>VLOOKUP(A90,[1]inrix_key!$A:$C,3,FALSE)</f>
        <v>HobbleCreek_S</v>
      </c>
      <c r="H90">
        <f t="shared" si="1"/>
        <v>-0.42999999999999716</v>
      </c>
    </row>
    <row r="91" spans="1:8" x14ac:dyDescent="0.25">
      <c r="A91">
        <v>474871675</v>
      </c>
      <c r="B91" t="s">
        <v>17</v>
      </c>
      <c r="C91">
        <v>-7.1180555555555398E-3</v>
      </c>
      <c r="D91">
        <v>-0.61926457565738102</v>
      </c>
      <c r="E91">
        <v>0.54182822300278799</v>
      </c>
      <c r="F91">
        <v>24</v>
      </c>
      <c r="G91" t="str">
        <f>VLOOKUP(A91,[1]inrix_key!$A:$C,3,FALSE)</f>
        <v>McMillan_E</v>
      </c>
      <c r="H91">
        <f t="shared" si="1"/>
        <v>-0.42708333333333237</v>
      </c>
    </row>
    <row r="92" spans="1:8" x14ac:dyDescent="0.25">
      <c r="A92">
        <v>1187466917</v>
      </c>
      <c r="B92" t="s">
        <v>21</v>
      </c>
      <c r="C92">
        <v>-6.8888888888889001E-3</v>
      </c>
      <c r="D92">
        <v>-0.48887142973103098</v>
      </c>
      <c r="E92">
        <v>0.67328575628627696</v>
      </c>
      <c r="F92">
        <v>3</v>
      </c>
      <c r="G92" t="str">
        <f>VLOOKUP(A92,[1]inrix_key!$A:$C,3,FALSE)</f>
        <v>Colchester_S</v>
      </c>
      <c r="H92">
        <f t="shared" si="1"/>
        <v>-0.413333333333334</v>
      </c>
    </row>
    <row r="93" spans="1:8" x14ac:dyDescent="0.25">
      <c r="A93">
        <v>1187548947</v>
      </c>
      <c r="B93" t="s">
        <v>20</v>
      </c>
      <c r="C93">
        <v>-6.5405405405405499E-3</v>
      </c>
      <c r="D93">
        <v>-0.435431793618206</v>
      </c>
      <c r="E93">
        <v>0.66584867934931402</v>
      </c>
      <c r="F93">
        <v>37</v>
      </c>
      <c r="G93" t="str">
        <f>VLOOKUP(A93,[1]inrix_key!$A:$C,3,FALSE)</f>
        <v>Fairview_S</v>
      </c>
      <c r="H93">
        <f t="shared" si="1"/>
        <v>-0.39243243243243298</v>
      </c>
    </row>
    <row r="94" spans="1:8" x14ac:dyDescent="0.25">
      <c r="A94">
        <v>119501618</v>
      </c>
      <c r="B94" t="s">
        <v>21</v>
      </c>
      <c r="C94">
        <v>-6.11111111111116E-3</v>
      </c>
      <c r="D94">
        <v>-0.410173733504962</v>
      </c>
      <c r="E94">
        <v>0.69866227834898198</v>
      </c>
      <c r="F94">
        <v>6</v>
      </c>
      <c r="G94" t="str">
        <f>VLOOKUP(A94,[1]inrix_key!$A:$C,3,FALSE)</f>
        <v>McMillan_N</v>
      </c>
      <c r="H94">
        <f t="shared" si="1"/>
        <v>-0.36666666666666958</v>
      </c>
    </row>
    <row r="95" spans="1:8" x14ac:dyDescent="0.25">
      <c r="A95">
        <v>1187335042</v>
      </c>
      <c r="B95" t="s">
        <v>20</v>
      </c>
      <c r="C95">
        <v>-4.9095238095238098E-3</v>
      </c>
      <c r="D95">
        <v>-0.39004633078784401</v>
      </c>
      <c r="E95">
        <v>0.69893517868048005</v>
      </c>
      <c r="F95">
        <v>35</v>
      </c>
      <c r="G95" t="str">
        <f>VLOOKUP(A95,[1]inrix_key!$A:$C,3,FALSE)</f>
        <v>Ustick_N</v>
      </c>
      <c r="H95">
        <f t="shared" si="1"/>
        <v>-0.2945714285714286</v>
      </c>
    </row>
    <row r="96" spans="1:8" x14ac:dyDescent="0.25">
      <c r="A96">
        <v>1187548947</v>
      </c>
      <c r="B96" t="s">
        <v>22</v>
      </c>
      <c r="C96">
        <v>-4.8125000000000199E-3</v>
      </c>
      <c r="D96">
        <v>-0.188125942965953</v>
      </c>
      <c r="E96">
        <v>0.85611537821626504</v>
      </c>
      <c r="F96">
        <v>8</v>
      </c>
      <c r="G96" t="str">
        <f>VLOOKUP(A96,[1]inrix_key!$A:$C,3,FALSE)</f>
        <v>Fairview_S</v>
      </c>
      <c r="H96">
        <f t="shared" si="1"/>
        <v>-0.28875000000000117</v>
      </c>
    </row>
    <row r="97" spans="1:8" x14ac:dyDescent="0.25">
      <c r="A97">
        <v>119501618</v>
      </c>
      <c r="B97" t="s">
        <v>20</v>
      </c>
      <c r="C97">
        <v>-4.7285714285713997E-3</v>
      </c>
      <c r="D97">
        <v>-0.42845599040800297</v>
      </c>
      <c r="E97">
        <v>0.67102142473789606</v>
      </c>
      <c r="F97">
        <v>35</v>
      </c>
      <c r="G97" t="str">
        <f>VLOOKUP(A97,[1]inrix_key!$A:$C,3,FALSE)</f>
        <v>McMillan_N</v>
      </c>
      <c r="H97">
        <f t="shared" si="1"/>
        <v>-0.28371428571428398</v>
      </c>
    </row>
    <row r="98" spans="1:8" x14ac:dyDescent="0.25">
      <c r="A98">
        <v>484366819</v>
      </c>
      <c r="B98" t="s">
        <v>22</v>
      </c>
      <c r="C98">
        <v>-4.5625000000000197E-3</v>
      </c>
      <c r="D98">
        <v>-0.56105728735804095</v>
      </c>
      <c r="E98">
        <v>0.59225660835730798</v>
      </c>
      <c r="F98">
        <v>8</v>
      </c>
      <c r="G98" t="str">
        <f>VLOOKUP(A98,[1]inrix_key!$A:$C,3,FALSE)</f>
        <v>Pine_E</v>
      </c>
      <c r="H98">
        <f t="shared" si="1"/>
        <v>-0.27375000000000116</v>
      </c>
    </row>
    <row r="99" spans="1:8" x14ac:dyDescent="0.25">
      <c r="A99">
        <v>1187577122</v>
      </c>
      <c r="B99" t="s">
        <v>17</v>
      </c>
      <c r="C99">
        <v>-3.8333333333333201E-3</v>
      </c>
      <c r="D99">
        <v>-0.43702246500108499</v>
      </c>
      <c r="E99">
        <v>0.66485826541576298</v>
      </c>
      <c r="F99">
        <v>35</v>
      </c>
      <c r="G99" t="str">
        <f>VLOOKUP(A99,[1]inrix_key!$A:$C,3,FALSE)</f>
        <v>Chinden_E</v>
      </c>
      <c r="H99">
        <f t="shared" si="1"/>
        <v>-0.22999999999999921</v>
      </c>
    </row>
    <row r="100" spans="1:8" x14ac:dyDescent="0.25">
      <c r="A100">
        <v>448725599</v>
      </c>
      <c r="B100" t="s">
        <v>21</v>
      </c>
      <c r="C100">
        <v>-2.91666666666662E-3</v>
      </c>
      <c r="D100">
        <v>-6.99999999999973</v>
      </c>
      <c r="E100">
        <v>9.0334470601736397E-2</v>
      </c>
      <c r="F100">
        <v>2</v>
      </c>
      <c r="G100" t="str">
        <f>VLOOKUP(A100,[1]inrix_key!$A:$C,3,FALSE)</f>
        <v>Chinden_S</v>
      </c>
      <c r="H100">
        <f t="shared" si="1"/>
        <v>-0.17499999999999719</v>
      </c>
    </row>
    <row r="101" spans="1:8" x14ac:dyDescent="0.25">
      <c r="A101">
        <v>428958433</v>
      </c>
      <c r="B101" t="s">
        <v>17</v>
      </c>
      <c r="C101">
        <v>-2.7976190476190401E-3</v>
      </c>
      <c r="D101">
        <v>-1.2570093828408999</v>
      </c>
      <c r="E101">
        <v>0.219515892111046</v>
      </c>
      <c r="F101">
        <v>28</v>
      </c>
      <c r="G101" t="str">
        <f>VLOOKUP(A101,[1]inrix_key!$A:$C,3,FALSE)</f>
        <v>EB_S</v>
      </c>
      <c r="H101">
        <f t="shared" si="1"/>
        <v>-0.1678571428571424</v>
      </c>
    </row>
    <row r="102" spans="1:8" x14ac:dyDescent="0.25">
      <c r="A102">
        <v>428958433</v>
      </c>
      <c r="B102" t="s">
        <v>20</v>
      </c>
      <c r="C102">
        <v>-2.7241379310344802E-3</v>
      </c>
      <c r="D102">
        <v>-1.98666625363021</v>
      </c>
      <c r="E102">
        <v>5.6824745317889801E-2</v>
      </c>
      <c r="F102">
        <v>29</v>
      </c>
      <c r="G102" t="str">
        <f>VLOOKUP(A102,[1]inrix_key!$A:$C,3,FALSE)</f>
        <v>EB_S</v>
      </c>
      <c r="H102">
        <f t="shared" si="1"/>
        <v>-0.16344827586206881</v>
      </c>
    </row>
    <row r="103" spans="1:8" x14ac:dyDescent="0.25">
      <c r="A103">
        <v>1187612015</v>
      </c>
      <c r="B103" t="s">
        <v>18</v>
      </c>
      <c r="C103">
        <v>-1.94444444444445E-3</v>
      </c>
      <c r="D103">
        <v>-0.1352925412655</v>
      </c>
      <c r="E103">
        <v>0.90476851507565403</v>
      </c>
      <c r="F103">
        <v>3</v>
      </c>
      <c r="G103" t="str">
        <f>VLOOKUP(A103,[1]inrix_key!$A:$C,3,FALSE)</f>
        <v>Chinden_W</v>
      </c>
      <c r="H103">
        <f t="shared" si="1"/>
        <v>-0.116666666666667</v>
      </c>
    </row>
    <row r="104" spans="1:8" x14ac:dyDescent="0.25">
      <c r="A104">
        <v>448695754</v>
      </c>
      <c r="B104" t="s">
        <v>20</v>
      </c>
      <c r="C104">
        <v>-1.9238095238095401E-3</v>
      </c>
      <c r="D104">
        <v>-0.306995234878223</v>
      </c>
      <c r="E104">
        <v>0.76071943789049001</v>
      </c>
      <c r="F104">
        <v>35</v>
      </c>
      <c r="G104" t="str">
        <f>VLOOKUP(A104,[1]inrix_key!$A:$C,3,FALSE)</f>
        <v>State_S</v>
      </c>
      <c r="H104">
        <f t="shared" si="1"/>
        <v>-0.11542857142857241</v>
      </c>
    </row>
    <row r="105" spans="1:8" x14ac:dyDescent="0.25">
      <c r="A105">
        <v>448697007</v>
      </c>
      <c r="B105" t="s">
        <v>17</v>
      </c>
      <c r="C105">
        <v>-1.8434343434343399E-3</v>
      </c>
      <c r="D105">
        <v>-0.32706459199542698</v>
      </c>
      <c r="E105">
        <v>0.74574894680116099</v>
      </c>
      <c r="F105">
        <v>33</v>
      </c>
      <c r="G105" t="str">
        <f>VLOOKUP(A105,[1]inrix_key!$A:$C,3,FALSE)</f>
        <v>WB_N</v>
      </c>
      <c r="H105">
        <f t="shared" si="1"/>
        <v>-0.11060606060606039</v>
      </c>
    </row>
    <row r="106" spans="1:8" x14ac:dyDescent="0.25">
      <c r="A106">
        <v>484347992</v>
      </c>
      <c r="B106" t="s">
        <v>17</v>
      </c>
      <c r="C106">
        <v>-1.6025641025640999E-3</v>
      </c>
      <c r="D106">
        <v>-1.5875015875023799</v>
      </c>
      <c r="E106">
        <v>0.13838441079356001</v>
      </c>
      <c r="F106">
        <v>13</v>
      </c>
      <c r="G106">
        <f>VLOOKUP(A106,[1]inrix_key!$A:$C,3,FALSE)</f>
        <v>0</v>
      </c>
      <c r="H106">
        <f t="shared" si="1"/>
        <v>-9.6153846153845993E-2</v>
      </c>
    </row>
    <row r="107" spans="1:8" x14ac:dyDescent="0.25">
      <c r="A107">
        <v>484347992</v>
      </c>
      <c r="B107" t="s">
        <v>22</v>
      </c>
      <c r="C107">
        <v>-1.3749999999999899E-3</v>
      </c>
      <c r="D107">
        <v>-1.4018549196608201</v>
      </c>
      <c r="E107">
        <v>0.203709583489321</v>
      </c>
      <c r="F107">
        <v>8</v>
      </c>
      <c r="G107">
        <f>VLOOKUP(A107,[1]inrix_key!$A:$C,3,FALSE)</f>
        <v>0</v>
      </c>
      <c r="H107">
        <f t="shared" si="1"/>
        <v>-8.2499999999999393E-2</v>
      </c>
    </row>
    <row r="108" spans="1:8" x14ac:dyDescent="0.25">
      <c r="A108">
        <v>448695752</v>
      </c>
      <c r="B108" t="s">
        <v>21</v>
      </c>
      <c r="C108">
        <v>-1.37499999999998E-3</v>
      </c>
      <c r="D108">
        <v>-0.21350839441223299</v>
      </c>
      <c r="E108">
        <v>0.84461738078563797</v>
      </c>
      <c r="F108">
        <v>4</v>
      </c>
      <c r="G108" t="str">
        <f>VLOOKUP(A108,[1]inrix_key!$A:$C,3,FALSE)</f>
        <v>IslandWood_N</v>
      </c>
      <c r="H108">
        <f t="shared" si="1"/>
        <v>-8.2499999999998797E-2</v>
      </c>
    </row>
    <row r="109" spans="1:8" x14ac:dyDescent="0.25">
      <c r="A109">
        <v>448697006</v>
      </c>
      <c r="B109" t="s">
        <v>17</v>
      </c>
      <c r="C109">
        <v>-1.0101010101009999E-3</v>
      </c>
      <c r="D109">
        <v>-0.17247568992568499</v>
      </c>
      <c r="E109">
        <v>0.86414981937163204</v>
      </c>
      <c r="F109">
        <v>33</v>
      </c>
      <c r="G109" t="str">
        <f>VLOOKUP(A109,[1]inrix_key!$A:$C,3,FALSE)</f>
        <v>StLukes_N</v>
      </c>
      <c r="H109">
        <f t="shared" si="1"/>
        <v>-6.0606060606059997E-2</v>
      </c>
    </row>
    <row r="110" spans="1:8" x14ac:dyDescent="0.25">
      <c r="A110">
        <v>448725599</v>
      </c>
      <c r="B110" t="s">
        <v>18</v>
      </c>
      <c r="C110">
        <v>-4.1666666666664799E-4</v>
      </c>
      <c r="D110">
        <v>-0.14285714285713699</v>
      </c>
      <c r="E110">
        <v>0.90966552939826995</v>
      </c>
      <c r="F110">
        <v>2</v>
      </c>
      <c r="G110" t="str">
        <f>VLOOKUP(A110,[1]inrix_key!$A:$C,3,FALSE)</f>
        <v>Chinden_S</v>
      </c>
      <c r="H110">
        <f t="shared" si="1"/>
        <v>-2.4999999999998881E-2</v>
      </c>
    </row>
    <row r="111" spans="1:8" x14ac:dyDescent="0.25">
      <c r="A111">
        <v>484347992</v>
      </c>
      <c r="B111" t="s">
        <v>19</v>
      </c>
      <c r="C111">
        <v>-1.19047619047618E-4</v>
      </c>
      <c r="D111">
        <v>-0.16666666666666499</v>
      </c>
      <c r="E111">
        <v>0.87310720495341398</v>
      </c>
      <c r="F111">
        <v>7</v>
      </c>
      <c r="G111">
        <f>VLOOKUP(A111,[1]inrix_key!$A:$C,3,FALSE)</f>
        <v>0</v>
      </c>
      <c r="H111">
        <f t="shared" si="1"/>
        <v>-7.1428571428570802E-3</v>
      </c>
    </row>
    <row r="112" spans="1:8" x14ac:dyDescent="0.25">
      <c r="A112">
        <v>1187548987</v>
      </c>
      <c r="B112" t="s">
        <v>20</v>
      </c>
      <c r="C112" s="1">
        <v>-9.4594594594602093E-5</v>
      </c>
      <c r="D112">
        <v>-1.8790474501715601E-2</v>
      </c>
      <c r="E112">
        <v>0.98511201247892299</v>
      </c>
      <c r="F112">
        <v>37</v>
      </c>
      <c r="G112" t="str">
        <f>VLOOKUP(A112,[1]inrix_key!$A:$C,3,FALSE)</f>
        <v>McMillan_S</v>
      </c>
      <c r="H112">
        <f t="shared" si="1"/>
        <v>-5.675675675676126E-3</v>
      </c>
    </row>
    <row r="113" spans="1:8" x14ac:dyDescent="0.25">
      <c r="A113">
        <v>428958434</v>
      </c>
      <c r="B113" t="s">
        <v>20</v>
      </c>
      <c r="C113" s="1">
        <v>-3.0701754385964398E-5</v>
      </c>
      <c r="D113">
        <v>-8.6467443955978805E-3</v>
      </c>
      <c r="E113">
        <v>0.99314743664711602</v>
      </c>
      <c r="F113">
        <v>38</v>
      </c>
      <c r="G113">
        <f>VLOOKUP(A113,[1]inrix_key!$A:$C,3,FALSE)</f>
        <v>0</v>
      </c>
      <c r="H113">
        <f t="shared" si="1"/>
        <v>-1.8421052631578639E-3</v>
      </c>
    </row>
    <row r="114" spans="1:8" x14ac:dyDescent="0.25">
      <c r="A114">
        <v>484347992</v>
      </c>
      <c r="B114" t="s">
        <v>20</v>
      </c>
      <c r="C114">
        <v>1.06060606060606E-4</v>
      </c>
      <c r="D114">
        <v>0.16744139051562501</v>
      </c>
      <c r="E114">
        <v>0.86862471514677297</v>
      </c>
      <c r="F114">
        <v>22</v>
      </c>
      <c r="G114">
        <f>VLOOKUP(A114,[1]inrix_key!$A:$C,3,FALSE)</f>
        <v>0</v>
      </c>
      <c r="H114">
        <f t="shared" si="1"/>
        <v>6.3636363636363595E-3</v>
      </c>
    </row>
    <row r="115" spans="1:8" x14ac:dyDescent="0.25">
      <c r="A115">
        <v>428958435</v>
      </c>
      <c r="B115" t="s">
        <v>21</v>
      </c>
      <c r="C115">
        <v>1.66666666666662E-4</v>
      </c>
      <c r="D115">
        <v>3.7875889620404002E-2</v>
      </c>
      <c r="E115">
        <v>0.97125236553456595</v>
      </c>
      <c r="F115">
        <v>6</v>
      </c>
      <c r="G115">
        <f>VLOOKUP(A115,[1]inrix_key!$A:$C,3,FALSE)</f>
        <v>0</v>
      </c>
      <c r="H115">
        <f t="shared" si="1"/>
        <v>9.9999999999997192E-3</v>
      </c>
    </row>
    <row r="116" spans="1:8" x14ac:dyDescent="0.25">
      <c r="A116">
        <v>1187532837</v>
      </c>
      <c r="B116" t="s">
        <v>19</v>
      </c>
      <c r="C116">
        <v>3.1250000000000001E-4</v>
      </c>
      <c r="D116">
        <v>3.3012625027079801E-2</v>
      </c>
      <c r="E116">
        <v>0.97458611865261002</v>
      </c>
      <c r="F116">
        <v>8</v>
      </c>
      <c r="G116" t="str">
        <f>VLOOKUP(A116,[1]inrix_key!$A:$C,3,FALSE)</f>
        <v>HobbleCreek_N</v>
      </c>
      <c r="H116">
        <f t="shared" si="1"/>
        <v>1.8749999999999999E-2</v>
      </c>
    </row>
    <row r="117" spans="1:8" x14ac:dyDescent="0.25">
      <c r="A117">
        <v>1187333665</v>
      </c>
      <c r="B117" t="s">
        <v>18</v>
      </c>
      <c r="C117">
        <v>8.3333333333331496E-4</v>
      </c>
      <c r="D117">
        <v>2.02319743860125E-2</v>
      </c>
      <c r="E117">
        <v>0.98569529748590401</v>
      </c>
      <c r="F117">
        <v>3</v>
      </c>
      <c r="G117" t="str">
        <f>VLOOKUP(A117,[1]inrix_key!$A:$C,3,FALSE)</f>
        <v>Chinden_N</v>
      </c>
      <c r="H117">
        <f t="shared" si="1"/>
        <v>4.9999999999998899E-2</v>
      </c>
    </row>
    <row r="118" spans="1:8" x14ac:dyDescent="0.25">
      <c r="A118">
        <v>448697009</v>
      </c>
      <c r="B118" t="s">
        <v>21</v>
      </c>
      <c r="C118">
        <v>1.3888888888889E-3</v>
      </c>
      <c r="D118">
        <v>0.15614756176411801</v>
      </c>
      <c r="E118">
        <v>0.88202541394154099</v>
      </c>
      <c r="F118">
        <v>6</v>
      </c>
      <c r="G118" t="str">
        <f>VLOOKUP(A118,[1]inrix_key!$A:$C,3,FALSE)</f>
        <v>Ustick_S</v>
      </c>
      <c r="H118">
        <f t="shared" si="1"/>
        <v>8.3333333333333995E-2</v>
      </c>
    </row>
    <row r="119" spans="1:8" x14ac:dyDescent="0.25">
      <c r="A119">
        <v>428958434</v>
      </c>
      <c r="B119" t="s">
        <v>17</v>
      </c>
      <c r="C119">
        <v>1.4814814814814699E-3</v>
      </c>
      <c r="D119">
        <v>0.28976189318000101</v>
      </c>
      <c r="E119">
        <v>0.77429669198539697</v>
      </c>
      <c r="F119">
        <v>27</v>
      </c>
      <c r="G119">
        <f>VLOOKUP(A119,[1]inrix_key!$A:$C,3,FALSE)</f>
        <v>0</v>
      </c>
      <c r="H119">
        <f t="shared" si="1"/>
        <v>8.8888888888888198E-2</v>
      </c>
    </row>
    <row r="120" spans="1:8" x14ac:dyDescent="0.25">
      <c r="A120">
        <v>428958435</v>
      </c>
      <c r="B120" t="s">
        <v>22</v>
      </c>
      <c r="C120">
        <v>1.5625000000000001E-3</v>
      </c>
      <c r="D120">
        <v>6.5649109446553999E-2</v>
      </c>
      <c r="E120">
        <v>0.94949276612420497</v>
      </c>
      <c r="F120">
        <v>8</v>
      </c>
      <c r="G120">
        <f>VLOOKUP(A120,[1]inrix_key!$A:$C,3,FALSE)</f>
        <v>0</v>
      </c>
      <c r="H120">
        <f t="shared" si="1"/>
        <v>9.375E-2</v>
      </c>
    </row>
    <row r="121" spans="1:8" x14ac:dyDescent="0.25">
      <c r="A121">
        <v>1187532837</v>
      </c>
      <c r="B121" t="s">
        <v>22</v>
      </c>
      <c r="C121">
        <v>1.7499999999999901E-3</v>
      </c>
      <c r="D121">
        <v>0.61941012568663301</v>
      </c>
      <c r="E121">
        <v>0.55526233453321205</v>
      </c>
      <c r="F121">
        <v>8</v>
      </c>
      <c r="G121" t="str">
        <f>VLOOKUP(A121,[1]inrix_key!$A:$C,3,FALSE)</f>
        <v>HobbleCreek_N</v>
      </c>
      <c r="H121">
        <f t="shared" si="1"/>
        <v>0.1049999999999994</v>
      </c>
    </row>
    <row r="122" spans="1:8" x14ac:dyDescent="0.25">
      <c r="A122">
        <v>448697007</v>
      </c>
      <c r="B122" t="s">
        <v>22</v>
      </c>
      <c r="C122">
        <v>2.43749999999998E-3</v>
      </c>
      <c r="D122">
        <v>0.233255900932585</v>
      </c>
      <c r="E122">
        <v>0.82223679630826096</v>
      </c>
      <c r="F122">
        <v>8</v>
      </c>
      <c r="G122" t="str">
        <f>VLOOKUP(A122,[1]inrix_key!$A:$C,3,FALSE)</f>
        <v>WB_N</v>
      </c>
      <c r="H122">
        <f t="shared" si="1"/>
        <v>0.1462499999999988</v>
      </c>
    </row>
    <row r="123" spans="1:8" x14ac:dyDescent="0.25">
      <c r="A123">
        <v>1187549053</v>
      </c>
      <c r="B123" t="s">
        <v>22</v>
      </c>
      <c r="C123">
        <v>2.4375000000000598E-3</v>
      </c>
      <c r="D123">
        <v>0.28302193403970499</v>
      </c>
      <c r="E123">
        <v>0.78534672422129803</v>
      </c>
      <c r="F123">
        <v>8</v>
      </c>
      <c r="G123" t="str">
        <f>VLOOKUP(A123,[1]inrix_key!$A:$C,3,FALSE)</f>
        <v>HobbleCreek_S</v>
      </c>
      <c r="H123">
        <f t="shared" si="1"/>
        <v>0.1462500000000036</v>
      </c>
    </row>
    <row r="124" spans="1:8" x14ac:dyDescent="0.25">
      <c r="A124">
        <v>1187635580</v>
      </c>
      <c r="B124" t="s">
        <v>18</v>
      </c>
      <c r="C124">
        <v>2.9999999999999901E-3</v>
      </c>
      <c r="D124">
        <v>0.121317380397823</v>
      </c>
      <c r="E124">
        <v>0.90928988136532696</v>
      </c>
      <c r="F124">
        <v>5</v>
      </c>
      <c r="G124" t="str">
        <f>VLOOKUP(A124,[1]inrix_key!$A:$C,3,FALSE)</f>
        <v>WB_S</v>
      </c>
      <c r="H124">
        <f t="shared" si="1"/>
        <v>0.17999999999999941</v>
      </c>
    </row>
    <row r="125" spans="1:8" x14ac:dyDescent="0.25">
      <c r="A125">
        <v>448725596</v>
      </c>
      <c r="B125" t="s">
        <v>18</v>
      </c>
      <c r="C125">
        <v>3.1666666666666701E-3</v>
      </c>
      <c r="D125">
        <v>0.10084366008487899</v>
      </c>
      <c r="E125">
        <v>0.92452706646041305</v>
      </c>
      <c r="F125">
        <v>5</v>
      </c>
      <c r="G125" t="str">
        <f>VLOOKUP(A125,[1]inrix_key!$A:$C,3,FALSE)</f>
        <v>Franklin_S</v>
      </c>
      <c r="H125">
        <f t="shared" si="1"/>
        <v>0.1900000000000002</v>
      </c>
    </row>
    <row r="126" spans="1:8" x14ac:dyDescent="0.25">
      <c r="A126">
        <v>1187635580</v>
      </c>
      <c r="B126" t="s">
        <v>21</v>
      </c>
      <c r="C126">
        <v>3.1666666666666701E-3</v>
      </c>
      <c r="D126">
        <v>0.21160805922002801</v>
      </c>
      <c r="E126">
        <v>0.84076779830181103</v>
      </c>
      <c r="F126">
        <v>6</v>
      </c>
      <c r="G126" t="str">
        <f>VLOOKUP(A126,[1]inrix_key!$A:$C,3,FALSE)</f>
        <v>WB_S</v>
      </c>
      <c r="H126">
        <f t="shared" si="1"/>
        <v>0.1900000000000002</v>
      </c>
    </row>
    <row r="127" spans="1:8" x14ac:dyDescent="0.25">
      <c r="A127">
        <v>448695754</v>
      </c>
      <c r="B127" t="s">
        <v>17</v>
      </c>
      <c r="C127">
        <v>3.27380952380953E-3</v>
      </c>
      <c r="D127">
        <v>0.52819452408613998</v>
      </c>
      <c r="E127">
        <v>0.60167912896940201</v>
      </c>
      <c r="F127">
        <v>28</v>
      </c>
      <c r="G127" t="str">
        <f>VLOOKUP(A127,[1]inrix_key!$A:$C,3,FALSE)</f>
        <v>State_S</v>
      </c>
      <c r="H127">
        <f t="shared" si="1"/>
        <v>0.19642857142857179</v>
      </c>
    </row>
    <row r="128" spans="1:8" x14ac:dyDescent="0.25">
      <c r="A128">
        <v>384121516</v>
      </c>
      <c r="B128" t="s">
        <v>17</v>
      </c>
      <c r="C128">
        <v>3.3333333333333101E-3</v>
      </c>
      <c r="D128">
        <v>0.25181267262393098</v>
      </c>
      <c r="E128">
        <v>0.80316568532204702</v>
      </c>
      <c r="F128">
        <v>27</v>
      </c>
      <c r="G128" t="str">
        <f>VLOOKUP(A128,[1]inrix_key!$A:$C,3,FALSE)</f>
        <v>McMillan_W</v>
      </c>
      <c r="H128">
        <f t="shared" si="1"/>
        <v>0.1999999999999986</v>
      </c>
    </row>
    <row r="129" spans="1:8" x14ac:dyDescent="0.25">
      <c r="A129">
        <v>474871675</v>
      </c>
      <c r="B129" t="s">
        <v>19</v>
      </c>
      <c r="C129">
        <v>3.43750000000002E-3</v>
      </c>
      <c r="D129">
        <v>0.25119842384308599</v>
      </c>
      <c r="E129">
        <v>0.80887520454707795</v>
      </c>
      <c r="F129">
        <v>8</v>
      </c>
      <c r="G129" t="str">
        <f>VLOOKUP(A129,[1]inrix_key!$A:$C,3,FALSE)</f>
        <v>McMillan_E</v>
      </c>
      <c r="H129">
        <f t="shared" si="1"/>
        <v>0.20625000000000121</v>
      </c>
    </row>
    <row r="130" spans="1:8" x14ac:dyDescent="0.25">
      <c r="A130">
        <v>448697007</v>
      </c>
      <c r="B130" t="s">
        <v>19</v>
      </c>
      <c r="C130">
        <v>3.7499999999999799E-3</v>
      </c>
      <c r="D130">
        <v>0.62554324217122304</v>
      </c>
      <c r="E130">
        <v>0.55145545192533996</v>
      </c>
      <c r="F130">
        <v>8</v>
      </c>
      <c r="G130" t="str">
        <f>VLOOKUP(A130,[1]inrix_key!$A:$C,3,FALSE)</f>
        <v>WB_N</v>
      </c>
      <c r="H130">
        <f t="shared" ref="H130:H193" si="2">60*C130</f>
        <v>0.22499999999999878</v>
      </c>
    </row>
    <row r="131" spans="1:8" x14ac:dyDescent="0.25">
      <c r="A131">
        <v>448697011</v>
      </c>
      <c r="B131" t="s">
        <v>18</v>
      </c>
      <c r="C131">
        <v>3.8888888888888602E-3</v>
      </c>
      <c r="D131">
        <v>0.32143589284697299</v>
      </c>
      <c r="E131">
        <v>0.77836334459854395</v>
      </c>
      <c r="F131">
        <v>3</v>
      </c>
      <c r="G131" t="str">
        <f>VLOOKUP(A131,[1]inrix_key!$A:$C,3,FALSE)</f>
        <v>Fairview_N</v>
      </c>
      <c r="H131">
        <f t="shared" si="2"/>
        <v>0.23333333333333162</v>
      </c>
    </row>
    <row r="132" spans="1:8" x14ac:dyDescent="0.25">
      <c r="A132">
        <v>428958433</v>
      </c>
      <c r="B132" t="s">
        <v>22</v>
      </c>
      <c r="C132">
        <v>4.1249999999999898E-3</v>
      </c>
      <c r="D132">
        <v>0.69825494027937896</v>
      </c>
      <c r="E132">
        <v>0.50754329719090796</v>
      </c>
      <c r="F132">
        <v>8</v>
      </c>
      <c r="G132" t="str">
        <f>VLOOKUP(A132,[1]inrix_key!$A:$C,3,FALSE)</f>
        <v>EB_S</v>
      </c>
      <c r="H132">
        <f t="shared" si="2"/>
        <v>0.24749999999999939</v>
      </c>
    </row>
    <row r="133" spans="1:8" x14ac:dyDescent="0.25">
      <c r="A133">
        <v>428958435</v>
      </c>
      <c r="B133" t="s">
        <v>17</v>
      </c>
      <c r="C133">
        <v>4.3918918918918904E-3</v>
      </c>
      <c r="D133">
        <v>0.81261561470906696</v>
      </c>
      <c r="E133">
        <v>0.42178000062294901</v>
      </c>
      <c r="F133">
        <v>37</v>
      </c>
      <c r="G133">
        <f>VLOOKUP(A133,[1]inrix_key!$A:$C,3,FALSE)</f>
        <v>0</v>
      </c>
      <c r="H133">
        <f t="shared" si="2"/>
        <v>0.26351351351351343</v>
      </c>
    </row>
    <row r="134" spans="1:8" x14ac:dyDescent="0.25">
      <c r="A134">
        <v>117503882</v>
      </c>
      <c r="B134" t="s">
        <v>20</v>
      </c>
      <c r="C134">
        <v>4.55729166666666E-3</v>
      </c>
      <c r="D134">
        <v>0.33333307741477203</v>
      </c>
      <c r="E134">
        <v>0.74112699934697901</v>
      </c>
      <c r="F134">
        <v>32</v>
      </c>
      <c r="G134" t="str">
        <f>VLOOKUP(A134,[1]inrix_key!$A:$C,3,FALSE)</f>
        <v>Franklin_E</v>
      </c>
      <c r="H134">
        <f t="shared" si="2"/>
        <v>0.27343749999999961</v>
      </c>
    </row>
    <row r="135" spans="1:8" x14ac:dyDescent="0.25">
      <c r="A135">
        <v>448697010</v>
      </c>
      <c r="B135" t="s">
        <v>19</v>
      </c>
      <c r="C135">
        <v>4.6875000000000302E-3</v>
      </c>
      <c r="D135">
        <v>0.47329479685248799</v>
      </c>
      <c r="E135">
        <v>0.65040691089418101</v>
      </c>
      <c r="F135">
        <v>8</v>
      </c>
      <c r="G135" t="str">
        <f>VLOOKUP(A135,[1]inrix_key!$A:$C,3,FALSE)</f>
        <v>RiverValley_N</v>
      </c>
      <c r="H135">
        <f t="shared" si="2"/>
        <v>0.28125000000000183</v>
      </c>
    </row>
    <row r="136" spans="1:8" x14ac:dyDescent="0.25">
      <c r="A136">
        <v>448725595</v>
      </c>
      <c r="B136" t="s">
        <v>22</v>
      </c>
      <c r="C136">
        <v>4.7499999999999903E-3</v>
      </c>
      <c r="D136">
        <v>0.39099048993343799</v>
      </c>
      <c r="E136">
        <v>0.70743191540436601</v>
      </c>
      <c r="F136">
        <v>8</v>
      </c>
      <c r="G136" t="str">
        <f>VLOOKUP(A136,[1]inrix_key!$A:$C,3,FALSE)</f>
        <v>StLukes_S</v>
      </c>
      <c r="H136">
        <f t="shared" si="2"/>
        <v>0.28499999999999942</v>
      </c>
    </row>
    <row r="137" spans="1:8" x14ac:dyDescent="0.25">
      <c r="A137">
        <v>1187654609</v>
      </c>
      <c r="B137" t="s">
        <v>20</v>
      </c>
      <c r="C137">
        <v>5.60526315789472E-3</v>
      </c>
      <c r="D137">
        <v>0.69922431364272697</v>
      </c>
      <c r="E137">
        <v>0.48878444794554199</v>
      </c>
      <c r="F137">
        <v>38</v>
      </c>
      <c r="G137" t="str">
        <f>VLOOKUP(A137,[1]inrix_key!$A:$C,3,FALSE)</f>
        <v>Pine_N</v>
      </c>
      <c r="H137">
        <f t="shared" si="2"/>
        <v>0.33631578947368318</v>
      </c>
    </row>
    <row r="138" spans="1:8" x14ac:dyDescent="0.25">
      <c r="A138">
        <v>1187327938</v>
      </c>
      <c r="B138" t="s">
        <v>22</v>
      </c>
      <c r="C138">
        <v>5.8750000000000703E-3</v>
      </c>
      <c r="D138">
        <v>0.17957837255772299</v>
      </c>
      <c r="E138">
        <v>0.86257123721109596</v>
      </c>
      <c r="F138">
        <v>8</v>
      </c>
      <c r="G138" t="str">
        <f>VLOOKUP(A138,[1]inrix_key!$A:$C,3,FALSE)</f>
        <v>Franklin_W</v>
      </c>
      <c r="H138">
        <f t="shared" si="2"/>
        <v>0.3525000000000042</v>
      </c>
    </row>
    <row r="139" spans="1:8" x14ac:dyDescent="0.25">
      <c r="A139">
        <v>448695752</v>
      </c>
      <c r="B139" t="s">
        <v>20</v>
      </c>
      <c r="C139">
        <v>5.9523809523809503E-3</v>
      </c>
      <c r="D139">
        <v>1.0547514756345899</v>
      </c>
      <c r="E139">
        <v>0.29897685033006399</v>
      </c>
      <c r="F139">
        <v>35</v>
      </c>
      <c r="G139" t="str">
        <f>VLOOKUP(A139,[1]inrix_key!$A:$C,3,FALSE)</f>
        <v>IslandWood_N</v>
      </c>
      <c r="H139">
        <f t="shared" si="2"/>
        <v>0.35714285714285704</v>
      </c>
    </row>
    <row r="140" spans="1:8" x14ac:dyDescent="0.25">
      <c r="A140">
        <v>1187586311</v>
      </c>
      <c r="B140" t="s">
        <v>17</v>
      </c>
      <c r="C140">
        <v>7.2979797979797903E-3</v>
      </c>
      <c r="D140">
        <v>0.65231536083738595</v>
      </c>
      <c r="E140">
        <v>0.51885643966067096</v>
      </c>
      <c r="F140">
        <v>33</v>
      </c>
      <c r="G140" t="str">
        <f>VLOOKUP(A140,[1]inrix_key!$A:$C,3,FALSE)</f>
        <v>EB_W</v>
      </c>
      <c r="H140">
        <f t="shared" si="2"/>
        <v>0.43787878787878742</v>
      </c>
    </row>
    <row r="141" spans="1:8" x14ac:dyDescent="0.25">
      <c r="A141">
        <v>1187532837</v>
      </c>
      <c r="B141" t="s">
        <v>21</v>
      </c>
      <c r="C141">
        <v>7.4999999999999902E-3</v>
      </c>
      <c r="D141">
        <v>0.36046168662767403</v>
      </c>
      <c r="E141">
        <v>0.73322921768482896</v>
      </c>
      <c r="F141">
        <v>6</v>
      </c>
      <c r="G141" t="str">
        <f>VLOOKUP(A141,[1]inrix_key!$A:$C,3,FALSE)</f>
        <v>HobbleCreek_N</v>
      </c>
      <c r="H141">
        <f t="shared" si="2"/>
        <v>0.4499999999999994</v>
      </c>
    </row>
    <row r="142" spans="1:8" x14ac:dyDescent="0.25">
      <c r="A142">
        <v>448694757</v>
      </c>
      <c r="B142" t="s">
        <v>17</v>
      </c>
      <c r="C142">
        <v>7.9545454545454693E-3</v>
      </c>
      <c r="D142">
        <v>0.61687606438752196</v>
      </c>
      <c r="E142">
        <v>0.54394720511375205</v>
      </c>
      <c r="F142">
        <v>22</v>
      </c>
      <c r="G142" t="str">
        <f>VLOOKUP(A142,[1]inrix_key!$A:$C,3,FALSE)</f>
        <v>Ustick_W</v>
      </c>
      <c r="H142">
        <f t="shared" si="2"/>
        <v>0.47727272727272818</v>
      </c>
    </row>
    <row r="143" spans="1:8" x14ac:dyDescent="0.25">
      <c r="A143">
        <v>448695754</v>
      </c>
      <c r="B143" t="s">
        <v>19</v>
      </c>
      <c r="C143">
        <v>8.1249999999999795E-3</v>
      </c>
      <c r="D143">
        <v>0.623097695735782</v>
      </c>
      <c r="E143">
        <v>0.552971538463225</v>
      </c>
      <c r="F143">
        <v>8</v>
      </c>
      <c r="G143" t="str">
        <f>VLOOKUP(A143,[1]inrix_key!$A:$C,3,FALSE)</f>
        <v>State_S</v>
      </c>
      <c r="H143">
        <f t="shared" si="2"/>
        <v>0.48749999999999877</v>
      </c>
    </row>
    <row r="144" spans="1:8" x14ac:dyDescent="0.25">
      <c r="A144">
        <v>448697007</v>
      </c>
      <c r="B144" t="s">
        <v>18</v>
      </c>
      <c r="C144">
        <v>8.3333333333333297E-3</v>
      </c>
      <c r="D144">
        <v>4.99999999999996</v>
      </c>
      <c r="E144">
        <v>0.12566591637800301</v>
      </c>
      <c r="F144">
        <v>2</v>
      </c>
      <c r="G144" t="str">
        <f>VLOOKUP(A144,[1]inrix_key!$A:$C,3,FALSE)</f>
        <v>WB_N</v>
      </c>
      <c r="H144">
        <f t="shared" si="2"/>
        <v>0.49999999999999978</v>
      </c>
    </row>
    <row r="145" spans="1:8" x14ac:dyDescent="0.25">
      <c r="A145">
        <v>428958435</v>
      </c>
      <c r="B145" t="s">
        <v>20</v>
      </c>
      <c r="C145">
        <v>8.3728070175438495E-3</v>
      </c>
      <c r="D145">
        <v>1.61000920145946</v>
      </c>
      <c r="E145">
        <v>0.115895775387773</v>
      </c>
      <c r="F145">
        <v>38</v>
      </c>
      <c r="G145">
        <f>VLOOKUP(A145,[1]inrix_key!$A:$C,3,FALSE)</f>
        <v>0</v>
      </c>
      <c r="H145">
        <f t="shared" si="2"/>
        <v>0.50236842105263102</v>
      </c>
    </row>
    <row r="146" spans="1:8" x14ac:dyDescent="0.25">
      <c r="A146">
        <v>1187517040</v>
      </c>
      <c r="B146" t="s">
        <v>21</v>
      </c>
      <c r="C146">
        <v>8.5277777777778008E-3</v>
      </c>
      <c r="D146">
        <v>1.4722197284831799</v>
      </c>
      <c r="E146">
        <v>0.20094231512504401</v>
      </c>
      <c r="F146">
        <v>6</v>
      </c>
      <c r="G146" t="str">
        <f>VLOOKUP(A146,[1]inrix_key!$A:$C,3,FALSE)</f>
        <v>Wainwright_S</v>
      </c>
      <c r="H146">
        <f t="shared" si="2"/>
        <v>0.51166666666666805</v>
      </c>
    </row>
    <row r="147" spans="1:8" x14ac:dyDescent="0.25">
      <c r="A147">
        <v>1187636735</v>
      </c>
      <c r="B147" t="s">
        <v>20</v>
      </c>
      <c r="C147">
        <v>8.7324561403508694E-3</v>
      </c>
      <c r="D147">
        <v>1.01990333004475</v>
      </c>
      <c r="E147">
        <v>0.31439706946170198</v>
      </c>
      <c r="F147">
        <v>38</v>
      </c>
      <c r="G147" t="str">
        <f>VLOOKUP(A147,[1]inrix_key!$A:$C,3,FALSE)</f>
        <v>WB_E</v>
      </c>
      <c r="H147">
        <f t="shared" si="2"/>
        <v>0.52394736842105216</v>
      </c>
    </row>
    <row r="148" spans="1:8" x14ac:dyDescent="0.25">
      <c r="A148">
        <v>1187327938</v>
      </c>
      <c r="B148" t="s">
        <v>19</v>
      </c>
      <c r="C148">
        <v>8.9583333333333702E-3</v>
      </c>
      <c r="D148">
        <v>0.53049469983909503</v>
      </c>
      <c r="E148">
        <v>0.61217560977086805</v>
      </c>
      <c r="F148">
        <v>8</v>
      </c>
      <c r="G148" t="str">
        <f>VLOOKUP(A148,[1]inrix_key!$A:$C,3,FALSE)</f>
        <v>Franklin_W</v>
      </c>
      <c r="H148">
        <f t="shared" si="2"/>
        <v>0.5375000000000022</v>
      </c>
    </row>
    <row r="149" spans="1:8" x14ac:dyDescent="0.25">
      <c r="A149">
        <v>474871675</v>
      </c>
      <c r="B149" t="s">
        <v>20</v>
      </c>
      <c r="C149">
        <v>9.3636363636363604E-3</v>
      </c>
      <c r="D149">
        <v>0.76584419637900503</v>
      </c>
      <c r="E149">
        <v>0.45229176448348801</v>
      </c>
      <c r="F149">
        <v>22</v>
      </c>
      <c r="G149" t="str">
        <f>VLOOKUP(A149,[1]inrix_key!$A:$C,3,FALSE)</f>
        <v>McMillan_E</v>
      </c>
      <c r="H149">
        <f t="shared" si="2"/>
        <v>0.56181818181818166</v>
      </c>
    </row>
    <row r="150" spans="1:8" x14ac:dyDescent="0.25">
      <c r="A150">
        <v>448725595</v>
      </c>
      <c r="B150" t="s">
        <v>17</v>
      </c>
      <c r="C150">
        <v>9.3693693693693604E-3</v>
      </c>
      <c r="D150">
        <v>1.4955720630804099</v>
      </c>
      <c r="E150">
        <v>0.14348086086162901</v>
      </c>
      <c r="F150">
        <v>37</v>
      </c>
      <c r="G150" t="str">
        <f>VLOOKUP(A150,[1]inrix_key!$A:$C,3,FALSE)</f>
        <v>StLukes_S</v>
      </c>
      <c r="H150">
        <f t="shared" si="2"/>
        <v>0.56216216216216164</v>
      </c>
    </row>
    <row r="151" spans="1:8" x14ac:dyDescent="0.25">
      <c r="A151">
        <v>448697008</v>
      </c>
      <c r="B151" t="s">
        <v>19</v>
      </c>
      <c r="C151">
        <v>0.01</v>
      </c>
      <c r="D151">
        <v>1.22202018532155</v>
      </c>
      <c r="E151">
        <v>0.26124919861915202</v>
      </c>
      <c r="F151">
        <v>8</v>
      </c>
      <c r="G151" t="str">
        <f>VLOOKUP(A151,[1]inrix_key!$A:$C,3,FALSE)</f>
        <v>RiverValley_S</v>
      </c>
      <c r="H151">
        <f t="shared" si="2"/>
        <v>0.6</v>
      </c>
    </row>
    <row r="152" spans="1:8" x14ac:dyDescent="0.25">
      <c r="A152">
        <v>448695751</v>
      </c>
      <c r="B152" t="s">
        <v>17</v>
      </c>
      <c r="C152">
        <v>1.0098039215686199E-2</v>
      </c>
      <c r="D152">
        <v>1.45076200302767</v>
      </c>
      <c r="E152">
        <v>0.156286019571167</v>
      </c>
      <c r="F152">
        <v>34</v>
      </c>
      <c r="G152" t="str">
        <f>VLOOKUP(A152,[1]inrix_key!$A:$C,3,FALSE)</f>
        <v>Riverside_N</v>
      </c>
      <c r="H152">
        <f t="shared" si="2"/>
        <v>0.60588235294117199</v>
      </c>
    </row>
    <row r="153" spans="1:8" x14ac:dyDescent="0.25">
      <c r="A153">
        <v>119269713</v>
      </c>
      <c r="B153" t="s">
        <v>20</v>
      </c>
      <c r="C153">
        <v>1.01538461538461E-2</v>
      </c>
      <c r="D153">
        <v>0.526116163600165</v>
      </c>
      <c r="E153">
        <v>0.60344400525414299</v>
      </c>
      <c r="F153">
        <v>26</v>
      </c>
      <c r="G153" t="str">
        <f>VLOOKUP(A153,[1]inrix_key!$A:$C,3,FALSE)</f>
        <v>Colchester_E</v>
      </c>
      <c r="H153">
        <f t="shared" si="2"/>
        <v>0.60923076923076602</v>
      </c>
    </row>
    <row r="154" spans="1:8" x14ac:dyDescent="0.25">
      <c r="A154">
        <v>484371307</v>
      </c>
      <c r="B154" t="s">
        <v>20</v>
      </c>
      <c r="C154">
        <v>1.03440860215053E-2</v>
      </c>
      <c r="D154">
        <v>2.2188431551745</v>
      </c>
      <c r="E154">
        <v>3.4207512781539398E-2</v>
      </c>
      <c r="F154">
        <v>31</v>
      </c>
      <c r="G154" t="str">
        <f>VLOOKUP(A154,[1]inrix_key!$A:$C,3,FALSE)</f>
        <v>Pine_E</v>
      </c>
      <c r="H154">
        <f t="shared" si="2"/>
        <v>0.62064516129031799</v>
      </c>
    </row>
    <row r="155" spans="1:8" x14ac:dyDescent="0.25">
      <c r="A155">
        <v>1187612015</v>
      </c>
      <c r="B155" t="s">
        <v>20</v>
      </c>
      <c r="C155">
        <v>1.07824074074074E-2</v>
      </c>
      <c r="D155">
        <v>1.3183848618941501</v>
      </c>
      <c r="E155">
        <v>0.195937773803639</v>
      </c>
      <c r="F155">
        <v>36</v>
      </c>
      <c r="G155" t="str">
        <f>VLOOKUP(A155,[1]inrix_key!$A:$C,3,FALSE)</f>
        <v>Chinden_W</v>
      </c>
      <c r="H155">
        <f t="shared" si="2"/>
        <v>0.64694444444444399</v>
      </c>
    </row>
    <row r="156" spans="1:8" x14ac:dyDescent="0.25">
      <c r="A156">
        <v>1187377510</v>
      </c>
      <c r="B156" t="s">
        <v>18</v>
      </c>
      <c r="C156">
        <v>1.0833333333333301E-2</v>
      </c>
      <c r="D156">
        <v>0.76470588235293901</v>
      </c>
      <c r="E156">
        <v>0.58438492631768302</v>
      </c>
      <c r="F156">
        <v>2</v>
      </c>
      <c r="G156" t="str">
        <f>VLOOKUP(A156,[1]inrix_key!$A:$C,3,FALSE)</f>
        <v>EB_S</v>
      </c>
      <c r="H156">
        <f t="shared" si="2"/>
        <v>0.64999999999999802</v>
      </c>
    </row>
    <row r="157" spans="1:8" x14ac:dyDescent="0.25">
      <c r="A157">
        <v>448694747</v>
      </c>
      <c r="B157" t="s">
        <v>19</v>
      </c>
      <c r="C157">
        <v>1.0937499999999999E-2</v>
      </c>
      <c r="D157">
        <v>0.632905922740303</v>
      </c>
      <c r="E157">
        <v>0.54690620984068605</v>
      </c>
      <c r="F157">
        <v>8</v>
      </c>
      <c r="G157" t="str">
        <f>VLOOKUP(A157,[1]inrix_key!$A:$C,3,FALSE)</f>
        <v>Fairview_W</v>
      </c>
      <c r="H157">
        <f t="shared" si="2"/>
        <v>0.65625</v>
      </c>
    </row>
    <row r="158" spans="1:8" x14ac:dyDescent="0.25">
      <c r="A158">
        <v>117503882</v>
      </c>
      <c r="B158" t="s">
        <v>22</v>
      </c>
      <c r="C158">
        <v>1.1374999999999901E-2</v>
      </c>
      <c r="D158">
        <v>1.03442702865884</v>
      </c>
      <c r="E158">
        <v>0.33534468729431899</v>
      </c>
      <c r="F158">
        <v>8</v>
      </c>
      <c r="G158" t="str">
        <f>VLOOKUP(A158,[1]inrix_key!$A:$C,3,FALSE)</f>
        <v>Franklin_E</v>
      </c>
      <c r="H158">
        <f t="shared" si="2"/>
        <v>0.682499999999994</v>
      </c>
    </row>
    <row r="159" spans="1:8" x14ac:dyDescent="0.25">
      <c r="A159">
        <v>1187532837</v>
      </c>
      <c r="B159" t="s">
        <v>20</v>
      </c>
      <c r="C159">
        <v>1.18142857142856E-2</v>
      </c>
      <c r="D159">
        <v>1.5112851748573799</v>
      </c>
      <c r="E159">
        <v>0.13995531799682301</v>
      </c>
      <c r="F159">
        <v>35</v>
      </c>
      <c r="G159" t="str">
        <f>VLOOKUP(A159,[1]inrix_key!$A:$C,3,FALSE)</f>
        <v>HobbleCreek_N</v>
      </c>
      <c r="H159">
        <f t="shared" si="2"/>
        <v>0.70885714285713597</v>
      </c>
    </row>
    <row r="160" spans="1:8" x14ac:dyDescent="0.25">
      <c r="A160">
        <v>1187548987</v>
      </c>
      <c r="B160" t="s">
        <v>21</v>
      </c>
      <c r="C160">
        <v>1.20833333333333E-2</v>
      </c>
      <c r="D160">
        <v>2.7280905183124302</v>
      </c>
      <c r="E160">
        <v>7.2056445176302497E-2</v>
      </c>
      <c r="F160">
        <v>4</v>
      </c>
      <c r="G160" t="str">
        <f>VLOOKUP(A160,[1]inrix_key!$A:$C,3,FALSE)</f>
        <v>McMillan_S</v>
      </c>
      <c r="H160">
        <f t="shared" si="2"/>
        <v>0.72499999999999798</v>
      </c>
    </row>
    <row r="161" spans="1:8" x14ac:dyDescent="0.25">
      <c r="A161">
        <v>1187636735</v>
      </c>
      <c r="B161" t="s">
        <v>19</v>
      </c>
      <c r="C161">
        <v>1.21875E-2</v>
      </c>
      <c r="D161">
        <v>2.5363817986255102</v>
      </c>
      <c r="E161">
        <v>3.8868873361246302E-2</v>
      </c>
      <c r="F161">
        <v>8</v>
      </c>
      <c r="G161" t="str">
        <f>VLOOKUP(A161,[1]inrix_key!$A:$C,3,FALSE)</f>
        <v>WB_E</v>
      </c>
      <c r="H161">
        <f t="shared" si="2"/>
        <v>0.73125000000000007</v>
      </c>
    </row>
    <row r="162" spans="1:8" x14ac:dyDescent="0.25">
      <c r="A162">
        <v>1187654609</v>
      </c>
      <c r="B162" t="s">
        <v>22</v>
      </c>
      <c r="C162">
        <v>1.23124999999999E-2</v>
      </c>
      <c r="D162">
        <v>0.73013129328839099</v>
      </c>
      <c r="E162">
        <v>0.48901825410595601</v>
      </c>
      <c r="F162">
        <v>8</v>
      </c>
      <c r="G162" t="str">
        <f>VLOOKUP(A162,[1]inrix_key!$A:$C,3,FALSE)</f>
        <v>Pine_N</v>
      </c>
      <c r="H162">
        <f t="shared" si="2"/>
        <v>0.73874999999999402</v>
      </c>
    </row>
    <row r="163" spans="1:8" x14ac:dyDescent="0.25">
      <c r="A163">
        <v>448695751</v>
      </c>
      <c r="B163" t="s">
        <v>20</v>
      </c>
      <c r="C163">
        <v>1.2357142857142799E-2</v>
      </c>
      <c r="D163">
        <v>1.7186431438736101</v>
      </c>
      <c r="E163">
        <v>9.4773957093580496E-2</v>
      </c>
      <c r="F163">
        <v>35</v>
      </c>
      <c r="G163" t="str">
        <f>VLOOKUP(A163,[1]inrix_key!$A:$C,3,FALSE)</f>
        <v>Riverside_N</v>
      </c>
      <c r="H163">
        <f t="shared" si="2"/>
        <v>0.741428571428568</v>
      </c>
    </row>
    <row r="164" spans="1:8" x14ac:dyDescent="0.25">
      <c r="A164">
        <v>448697006</v>
      </c>
      <c r="B164" t="s">
        <v>19</v>
      </c>
      <c r="C164">
        <v>1.24999999999999E-2</v>
      </c>
      <c r="D164">
        <v>0.93953383842387606</v>
      </c>
      <c r="E164">
        <v>0.37873683152535698</v>
      </c>
      <c r="F164">
        <v>8</v>
      </c>
      <c r="G164" t="str">
        <f>VLOOKUP(A164,[1]inrix_key!$A:$C,3,FALSE)</f>
        <v>StLukes_N</v>
      </c>
      <c r="H164">
        <f t="shared" si="2"/>
        <v>0.749999999999994</v>
      </c>
    </row>
    <row r="165" spans="1:8" x14ac:dyDescent="0.25">
      <c r="A165">
        <v>448697006</v>
      </c>
      <c r="B165" t="s">
        <v>20</v>
      </c>
      <c r="C165">
        <v>1.2619047619047599E-2</v>
      </c>
      <c r="D165">
        <v>1.84535591827149</v>
      </c>
      <c r="E165">
        <v>7.3709995902175501E-2</v>
      </c>
      <c r="F165">
        <v>35</v>
      </c>
      <c r="G165" t="str">
        <f>VLOOKUP(A165,[1]inrix_key!$A:$C,3,FALSE)</f>
        <v>StLukes_N</v>
      </c>
      <c r="H165">
        <f t="shared" si="2"/>
        <v>0.75714285714285601</v>
      </c>
    </row>
    <row r="166" spans="1:8" x14ac:dyDescent="0.25">
      <c r="A166">
        <v>1187517040</v>
      </c>
      <c r="B166" t="s">
        <v>20</v>
      </c>
      <c r="C166">
        <v>1.3040540540540499E-2</v>
      </c>
      <c r="D166">
        <v>1.7904182802550099</v>
      </c>
      <c r="E166">
        <v>8.1799787067663499E-2</v>
      </c>
      <c r="F166">
        <v>37</v>
      </c>
      <c r="G166" t="str">
        <f>VLOOKUP(A166,[1]inrix_key!$A:$C,3,FALSE)</f>
        <v>Wainwright_S</v>
      </c>
      <c r="H166">
        <f t="shared" si="2"/>
        <v>0.78243243243242999</v>
      </c>
    </row>
    <row r="167" spans="1:8" x14ac:dyDescent="0.25">
      <c r="A167">
        <v>448725595</v>
      </c>
      <c r="B167" t="s">
        <v>18</v>
      </c>
      <c r="C167">
        <v>1.3166666666666599E-2</v>
      </c>
      <c r="D167">
        <v>0.43384006178528001</v>
      </c>
      <c r="E167">
        <v>0.68677861332126</v>
      </c>
      <c r="F167">
        <v>5</v>
      </c>
      <c r="G167" t="str">
        <f>VLOOKUP(A167,[1]inrix_key!$A:$C,3,FALSE)</f>
        <v>StLukes_S</v>
      </c>
      <c r="H167">
        <f t="shared" si="2"/>
        <v>0.78999999999999593</v>
      </c>
    </row>
    <row r="168" spans="1:8" x14ac:dyDescent="0.25">
      <c r="A168">
        <v>1187333605</v>
      </c>
      <c r="B168" t="s">
        <v>21</v>
      </c>
      <c r="C168">
        <v>1.3416666666666599E-2</v>
      </c>
      <c r="D168">
        <v>0.54621480894544305</v>
      </c>
      <c r="E168">
        <v>0.62291890735357802</v>
      </c>
      <c r="F168">
        <v>4</v>
      </c>
      <c r="G168" t="str">
        <f>VLOOKUP(A168,[1]inrix_key!$A:$C,3,FALSE)</f>
        <v>Colchester_N</v>
      </c>
      <c r="H168">
        <f t="shared" si="2"/>
        <v>0.80499999999999594</v>
      </c>
    </row>
    <row r="169" spans="1:8" x14ac:dyDescent="0.25">
      <c r="A169">
        <v>119269713</v>
      </c>
      <c r="B169" t="s">
        <v>22</v>
      </c>
      <c r="C169">
        <v>1.36458333333333E-2</v>
      </c>
      <c r="D169">
        <v>1.2404162134375201</v>
      </c>
      <c r="E169">
        <v>0.254782539957075</v>
      </c>
      <c r="F169">
        <v>8</v>
      </c>
      <c r="G169" t="str">
        <f>VLOOKUP(A169,[1]inrix_key!$A:$C,3,FALSE)</f>
        <v>Colchester_E</v>
      </c>
      <c r="H169">
        <f t="shared" si="2"/>
        <v>0.81874999999999798</v>
      </c>
    </row>
    <row r="170" spans="1:8" x14ac:dyDescent="0.25">
      <c r="A170">
        <v>117772024</v>
      </c>
      <c r="B170" t="s">
        <v>17</v>
      </c>
      <c r="C170">
        <v>1.3796296296296201E-2</v>
      </c>
      <c r="D170">
        <v>1.4262857324524001</v>
      </c>
      <c r="E170">
        <v>0.16568383345815599</v>
      </c>
      <c r="F170">
        <v>27</v>
      </c>
      <c r="G170" t="str">
        <f>VLOOKUP(A170,[1]inrix_key!$A:$C,3,FALSE)</f>
        <v>IslandWood_W</v>
      </c>
      <c r="H170">
        <f t="shared" si="2"/>
        <v>0.82777777777777206</v>
      </c>
    </row>
    <row r="171" spans="1:8" x14ac:dyDescent="0.25">
      <c r="A171">
        <v>1187532837</v>
      </c>
      <c r="B171" t="s">
        <v>17</v>
      </c>
      <c r="C171">
        <v>1.38541666666666E-2</v>
      </c>
      <c r="D171">
        <v>2.65454239078765</v>
      </c>
      <c r="E171">
        <v>1.2421231170500001E-2</v>
      </c>
      <c r="F171">
        <v>32</v>
      </c>
      <c r="G171" t="str">
        <f>VLOOKUP(A171,[1]inrix_key!$A:$C,3,FALSE)</f>
        <v>HobbleCreek_N</v>
      </c>
      <c r="H171">
        <f t="shared" si="2"/>
        <v>0.83124999999999594</v>
      </c>
    </row>
    <row r="172" spans="1:8" x14ac:dyDescent="0.25">
      <c r="A172">
        <v>448694747</v>
      </c>
      <c r="B172" t="s">
        <v>21</v>
      </c>
      <c r="C172">
        <v>1.41666666666666E-2</v>
      </c>
      <c r="D172">
        <v>0.45945945945945799</v>
      </c>
      <c r="E172">
        <v>0.72581263144069896</v>
      </c>
      <c r="F172">
        <v>2</v>
      </c>
      <c r="G172" t="str">
        <f>VLOOKUP(A172,[1]inrix_key!$A:$C,3,FALSE)</f>
        <v>Fairview_W</v>
      </c>
      <c r="H172">
        <f t="shared" si="2"/>
        <v>0.84999999999999598</v>
      </c>
    </row>
    <row r="173" spans="1:8" x14ac:dyDescent="0.25">
      <c r="A173">
        <v>1187612015</v>
      </c>
      <c r="B173" t="s">
        <v>17</v>
      </c>
      <c r="C173">
        <v>1.45312499999999E-2</v>
      </c>
      <c r="D173">
        <v>1.5001545728024399</v>
      </c>
      <c r="E173">
        <v>0.143691211664108</v>
      </c>
      <c r="F173">
        <v>32</v>
      </c>
      <c r="G173" t="str">
        <f>VLOOKUP(A173,[1]inrix_key!$A:$C,3,FALSE)</f>
        <v>Chinden_W</v>
      </c>
      <c r="H173">
        <f t="shared" si="2"/>
        <v>0.87187499999999396</v>
      </c>
    </row>
    <row r="174" spans="1:8" x14ac:dyDescent="0.25">
      <c r="A174">
        <v>384139881</v>
      </c>
      <c r="B174" t="s">
        <v>22</v>
      </c>
      <c r="C174">
        <v>1.53958333333333E-2</v>
      </c>
      <c r="D174">
        <v>0.70439011482346603</v>
      </c>
      <c r="E174">
        <v>0.50394296264036698</v>
      </c>
      <c r="F174">
        <v>8</v>
      </c>
      <c r="G174" t="str">
        <f>VLOOKUP(A174,[1]inrix_key!$A:$C,3,FALSE)</f>
        <v>Pine_W</v>
      </c>
      <c r="H174">
        <f t="shared" si="2"/>
        <v>0.92374999999999796</v>
      </c>
    </row>
    <row r="175" spans="1:8" x14ac:dyDescent="0.25">
      <c r="A175">
        <v>448695752</v>
      </c>
      <c r="B175" t="s">
        <v>17</v>
      </c>
      <c r="C175">
        <v>1.54411764705882E-2</v>
      </c>
      <c r="D175">
        <v>4.6654140362796097</v>
      </c>
      <c r="E175" s="1">
        <v>4.9271907960821697E-5</v>
      </c>
      <c r="F175">
        <v>34</v>
      </c>
      <c r="G175" t="str">
        <f>VLOOKUP(A175,[1]inrix_key!$A:$C,3,FALSE)</f>
        <v>IslandWood_N</v>
      </c>
      <c r="H175">
        <f t="shared" si="2"/>
        <v>0.92647058823529194</v>
      </c>
    </row>
    <row r="176" spans="1:8" x14ac:dyDescent="0.25">
      <c r="A176">
        <v>1187466917</v>
      </c>
      <c r="B176" t="s">
        <v>22</v>
      </c>
      <c r="C176">
        <v>1.59999999999999E-2</v>
      </c>
      <c r="D176">
        <v>0.714318255034882</v>
      </c>
      <c r="E176">
        <v>0.49815189979323998</v>
      </c>
      <c r="F176">
        <v>8</v>
      </c>
      <c r="G176" t="str">
        <f>VLOOKUP(A176,[1]inrix_key!$A:$C,3,FALSE)</f>
        <v>Colchester_S</v>
      </c>
      <c r="H176">
        <f t="shared" si="2"/>
        <v>0.95999999999999397</v>
      </c>
    </row>
    <row r="177" spans="1:8" x14ac:dyDescent="0.25">
      <c r="A177">
        <v>448694747</v>
      </c>
      <c r="B177" t="s">
        <v>20</v>
      </c>
      <c r="C177">
        <v>1.6182795698924699E-2</v>
      </c>
      <c r="D177">
        <v>1.5602515969951101</v>
      </c>
      <c r="E177">
        <v>0.129188792349264</v>
      </c>
      <c r="F177">
        <v>31</v>
      </c>
      <c r="G177" t="str">
        <f>VLOOKUP(A177,[1]inrix_key!$A:$C,3,FALSE)</f>
        <v>Fairview_W</v>
      </c>
      <c r="H177">
        <f t="shared" si="2"/>
        <v>0.97096774193548196</v>
      </c>
    </row>
    <row r="178" spans="1:8" x14ac:dyDescent="0.25">
      <c r="A178">
        <v>474871675</v>
      </c>
      <c r="B178" t="s">
        <v>18</v>
      </c>
      <c r="C178">
        <v>1.6666666666666601E-2</v>
      </c>
      <c r="D178">
        <v>2.5</v>
      </c>
      <c r="E178">
        <v>0.24223788318168599</v>
      </c>
      <c r="F178">
        <v>2</v>
      </c>
      <c r="G178" t="str">
        <f>VLOOKUP(A178,[1]inrix_key!$A:$C,3,FALSE)</f>
        <v>McMillan_E</v>
      </c>
      <c r="H178">
        <f t="shared" si="2"/>
        <v>0.999999999999996</v>
      </c>
    </row>
    <row r="179" spans="1:8" x14ac:dyDescent="0.25">
      <c r="A179">
        <v>117772024</v>
      </c>
      <c r="B179" t="s">
        <v>22</v>
      </c>
      <c r="C179">
        <v>1.6916666666666601E-2</v>
      </c>
      <c r="D179">
        <v>1.81864099099259</v>
      </c>
      <c r="E179">
        <v>0.11179091516894001</v>
      </c>
      <c r="F179">
        <v>8</v>
      </c>
      <c r="G179" t="str">
        <f>VLOOKUP(A179,[1]inrix_key!$A:$C,3,FALSE)</f>
        <v>IslandWood_W</v>
      </c>
      <c r="H179">
        <f t="shared" si="2"/>
        <v>1.0149999999999961</v>
      </c>
    </row>
    <row r="180" spans="1:8" x14ac:dyDescent="0.25">
      <c r="A180">
        <v>384121516</v>
      </c>
      <c r="B180" t="s">
        <v>19</v>
      </c>
      <c r="C180">
        <v>1.7395833333333301E-2</v>
      </c>
      <c r="D180">
        <v>0.79512090918178902</v>
      </c>
      <c r="E180">
        <v>0.45265562482221799</v>
      </c>
      <c r="F180">
        <v>8</v>
      </c>
      <c r="G180" t="str">
        <f>VLOOKUP(A180,[1]inrix_key!$A:$C,3,FALSE)</f>
        <v>McMillan_W</v>
      </c>
      <c r="H180">
        <f t="shared" si="2"/>
        <v>1.0437499999999982</v>
      </c>
    </row>
    <row r="181" spans="1:8" x14ac:dyDescent="0.25">
      <c r="A181">
        <v>428958435</v>
      </c>
      <c r="B181" t="s">
        <v>18</v>
      </c>
      <c r="C181">
        <v>1.7666666666666601E-2</v>
      </c>
      <c r="D181">
        <v>1.79467784522808</v>
      </c>
      <c r="E181">
        <v>0.14714701648078601</v>
      </c>
      <c r="F181">
        <v>5</v>
      </c>
      <c r="G181">
        <f>VLOOKUP(A181,[1]inrix_key!$A:$C,3,FALSE)</f>
        <v>0</v>
      </c>
      <c r="H181">
        <f t="shared" si="2"/>
        <v>1.0599999999999961</v>
      </c>
    </row>
    <row r="182" spans="1:8" x14ac:dyDescent="0.25">
      <c r="A182">
        <v>1187517040</v>
      </c>
      <c r="B182" t="s">
        <v>19</v>
      </c>
      <c r="C182">
        <v>1.8437499999999898E-2</v>
      </c>
      <c r="D182">
        <v>2.93380400407028</v>
      </c>
      <c r="E182">
        <v>2.1905415828029799E-2</v>
      </c>
      <c r="F182">
        <v>8</v>
      </c>
      <c r="G182" t="str">
        <f>VLOOKUP(A182,[1]inrix_key!$A:$C,3,FALSE)</f>
        <v>Wainwright_S</v>
      </c>
      <c r="H182">
        <f t="shared" si="2"/>
        <v>1.106249999999994</v>
      </c>
    </row>
    <row r="183" spans="1:8" x14ac:dyDescent="0.25">
      <c r="A183">
        <v>1187636735</v>
      </c>
      <c r="B183" t="s">
        <v>17</v>
      </c>
      <c r="C183">
        <v>1.8749999999999999E-2</v>
      </c>
      <c r="D183">
        <v>1.28412346272748</v>
      </c>
      <c r="E183">
        <v>0.21000887537855301</v>
      </c>
      <c r="F183">
        <v>28</v>
      </c>
      <c r="G183" t="str">
        <f>VLOOKUP(A183,[1]inrix_key!$A:$C,3,FALSE)</f>
        <v>WB_E</v>
      </c>
      <c r="H183">
        <f t="shared" si="2"/>
        <v>1.125</v>
      </c>
    </row>
    <row r="184" spans="1:8" x14ac:dyDescent="0.25">
      <c r="A184">
        <v>484366819</v>
      </c>
      <c r="B184" t="s">
        <v>17</v>
      </c>
      <c r="C184">
        <v>1.8933333333333299E-2</v>
      </c>
      <c r="D184">
        <v>1.1005700878031299</v>
      </c>
      <c r="E184">
        <v>0.28200034918991901</v>
      </c>
      <c r="F184">
        <v>25</v>
      </c>
      <c r="G184" t="str">
        <f>VLOOKUP(A184,[1]inrix_key!$A:$C,3,FALSE)</f>
        <v>Pine_E</v>
      </c>
      <c r="H184">
        <f t="shared" si="2"/>
        <v>1.1359999999999979</v>
      </c>
    </row>
    <row r="185" spans="1:8" x14ac:dyDescent="0.25">
      <c r="A185">
        <v>1187377510</v>
      </c>
      <c r="B185" t="s">
        <v>22</v>
      </c>
      <c r="C185">
        <v>1.9124999999999899E-2</v>
      </c>
      <c r="D185">
        <v>1.0055008352369399</v>
      </c>
      <c r="E185">
        <v>0.34814068729050301</v>
      </c>
      <c r="F185">
        <v>8</v>
      </c>
      <c r="G185" t="str">
        <f>VLOOKUP(A185,[1]inrix_key!$A:$C,3,FALSE)</f>
        <v>EB_S</v>
      </c>
      <c r="H185">
        <f t="shared" si="2"/>
        <v>1.147499999999994</v>
      </c>
    </row>
    <row r="186" spans="1:8" x14ac:dyDescent="0.25">
      <c r="A186">
        <v>484366819</v>
      </c>
      <c r="B186" t="s">
        <v>19</v>
      </c>
      <c r="C186">
        <v>1.9166666666666599E-2</v>
      </c>
      <c r="D186">
        <v>1.24761226341161</v>
      </c>
      <c r="E186">
        <v>0.25865795356115701</v>
      </c>
      <c r="F186">
        <v>7</v>
      </c>
      <c r="G186" t="str">
        <f>VLOOKUP(A186,[1]inrix_key!$A:$C,3,FALSE)</f>
        <v>Pine_E</v>
      </c>
      <c r="H186">
        <f t="shared" si="2"/>
        <v>1.1499999999999959</v>
      </c>
    </row>
    <row r="187" spans="1:8" x14ac:dyDescent="0.25">
      <c r="A187">
        <v>1187334983</v>
      </c>
      <c r="B187" t="s">
        <v>20</v>
      </c>
      <c r="C187">
        <v>1.9261904761904699E-2</v>
      </c>
      <c r="D187">
        <v>2.0533279698329601</v>
      </c>
      <c r="E187">
        <v>4.7797771818582697E-2</v>
      </c>
      <c r="F187">
        <v>35</v>
      </c>
      <c r="G187" t="str">
        <f>VLOOKUP(A187,[1]inrix_key!$A:$C,3,FALSE)</f>
        <v>Wainwright_N</v>
      </c>
      <c r="H187">
        <f t="shared" si="2"/>
        <v>1.1557142857142819</v>
      </c>
    </row>
    <row r="188" spans="1:8" x14ac:dyDescent="0.25">
      <c r="A188">
        <v>448697011</v>
      </c>
      <c r="B188" t="s">
        <v>17</v>
      </c>
      <c r="C188">
        <v>1.98333333333333E-2</v>
      </c>
      <c r="D188">
        <v>1.9250381508771399</v>
      </c>
      <c r="E188">
        <v>6.2623853960287995E-2</v>
      </c>
      <c r="F188">
        <v>35</v>
      </c>
      <c r="G188" t="str">
        <f>VLOOKUP(A188,[1]inrix_key!$A:$C,3,FALSE)</f>
        <v>Fairview_N</v>
      </c>
      <c r="H188">
        <f t="shared" si="2"/>
        <v>1.1899999999999979</v>
      </c>
    </row>
    <row r="189" spans="1:8" x14ac:dyDescent="0.25">
      <c r="A189">
        <v>1187654609</v>
      </c>
      <c r="B189" t="s">
        <v>17</v>
      </c>
      <c r="C189">
        <v>2.05238095238095E-2</v>
      </c>
      <c r="D189">
        <v>2.30289317823244</v>
      </c>
      <c r="E189">
        <v>2.7531198436950999E-2</v>
      </c>
      <c r="F189">
        <v>35</v>
      </c>
      <c r="G189" t="str">
        <f>VLOOKUP(A189,[1]inrix_key!$A:$C,3,FALSE)</f>
        <v>Pine_N</v>
      </c>
      <c r="H189">
        <f t="shared" si="2"/>
        <v>1.23142857142857</v>
      </c>
    </row>
    <row r="190" spans="1:8" x14ac:dyDescent="0.25">
      <c r="A190">
        <v>1187586311</v>
      </c>
      <c r="B190" t="s">
        <v>19</v>
      </c>
      <c r="C190">
        <v>2.06249999999999E-2</v>
      </c>
      <c r="D190">
        <v>1.3989726654276</v>
      </c>
      <c r="E190">
        <v>0.20453590487836201</v>
      </c>
      <c r="F190">
        <v>8</v>
      </c>
      <c r="G190" t="str">
        <f>VLOOKUP(A190,[1]inrix_key!$A:$C,3,FALSE)</f>
        <v>EB_W</v>
      </c>
      <c r="H190">
        <f t="shared" si="2"/>
        <v>1.237499999999994</v>
      </c>
    </row>
    <row r="191" spans="1:8" x14ac:dyDescent="0.25">
      <c r="A191">
        <v>448695751</v>
      </c>
      <c r="B191" t="s">
        <v>19</v>
      </c>
      <c r="C191">
        <v>2.0937499999999901E-2</v>
      </c>
      <c r="D191">
        <v>2.2243481669363501</v>
      </c>
      <c r="E191">
        <v>6.1481484237215001E-2</v>
      </c>
      <c r="F191">
        <v>8</v>
      </c>
      <c r="G191" t="str">
        <f>VLOOKUP(A191,[1]inrix_key!$A:$C,3,FALSE)</f>
        <v>Riverside_N</v>
      </c>
      <c r="H191">
        <f t="shared" si="2"/>
        <v>1.2562499999999941</v>
      </c>
    </row>
    <row r="192" spans="1:8" x14ac:dyDescent="0.25">
      <c r="A192">
        <v>448694747</v>
      </c>
      <c r="B192" t="s">
        <v>17</v>
      </c>
      <c r="C192">
        <v>2.1178160919540199E-2</v>
      </c>
      <c r="D192">
        <v>1.82579219956795</v>
      </c>
      <c r="E192">
        <v>7.8564836180794906E-2</v>
      </c>
      <c r="F192">
        <v>29</v>
      </c>
      <c r="G192" t="str">
        <f>VLOOKUP(A192,[1]inrix_key!$A:$C,3,FALSE)</f>
        <v>Fairview_W</v>
      </c>
      <c r="H192">
        <f t="shared" si="2"/>
        <v>1.2706896551724118</v>
      </c>
    </row>
    <row r="193" spans="1:8" x14ac:dyDescent="0.25">
      <c r="A193">
        <v>448725595</v>
      </c>
      <c r="B193" t="s">
        <v>19</v>
      </c>
      <c r="C193">
        <v>2.2187499999999898E-2</v>
      </c>
      <c r="D193">
        <v>1.82463046856758</v>
      </c>
      <c r="E193">
        <v>0.110814080317373</v>
      </c>
      <c r="F193">
        <v>8</v>
      </c>
      <c r="G193" t="str">
        <f>VLOOKUP(A193,[1]inrix_key!$A:$C,3,FALSE)</f>
        <v>StLukes_S</v>
      </c>
      <c r="H193">
        <f t="shared" si="2"/>
        <v>1.3312499999999938</v>
      </c>
    </row>
    <row r="194" spans="1:8" x14ac:dyDescent="0.25">
      <c r="A194">
        <v>448697010</v>
      </c>
      <c r="B194" t="s">
        <v>17</v>
      </c>
      <c r="C194">
        <v>2.2666666666666599E-2</v>
      </c>
      <c r="D194">
        <v>5.0770498228590597</v>
      </c>
      <c r="E194" s="1">
        <v>1.36478671516039E-5</v>
      </c>
      <c r="F194">
        <v>35</v>
      </c>
      <c r="G194" t="str">
        <f>VLOOKUP(A194,[1]inrix_key!$A:$C,3,FALSE)</f>
        <v>RiverValley_N</v>
      </c>
      <c r="H194">
        <f t="shared" ref="H194:H257" si="3">60*C194</f>
        <v>1.3599999999999959</v>
      </c>
    </row>
    <row r="195" spans="1:8" x14ac:dyDescent="0.25">
      <c r="A195">
        <v>1187654588</v>
      </c>
      <c r="B195" t="s">
        <v>17</v>
      </c>
      <c r="C195">
        <v>2.3978494623655901E-2</v>
      </c>
      <c r="D195">
        <v>1.9782404413165</v>
      </c>
      <c r="E195">
        <v>5.71488073395355E-2</v>
      </c>
      <c r="F195">
        <v>31</v>
      </c>
      <c r="G195" t="str">
        <f>VLOOKUP(A195,[1]inrix_key!$A:$C,3,FALSE)</f>
        <v>Franklin_N</v>
      </c>
      <c r="H195">
        <f t="shared" si="3"/>
        <v>1.438709677419354</v>
      </c>
    </row>
    <row r="196" spans="1:8" x14ac:dyDescent="0.25">
      <c r="A196">
        <v>448695751</v>
      </c>
      <c r="B196" t="s">
        <v>18</v>
      </c>
      <c r="C196">
        <v>2.4444444444444401E-2</v>
      </c>
      <c r="D196">
        <v>0.57655666019705498</v>
      </c>
      <c r="E196">
        <v>0.62248097731997998</v>
      </c>
      <c r="F196">
        <v>3</v>
      </c>
      <c r="G196" t="str">
        <f>VLOOKUP(A196,[1]inrix_key!$A:$C,3,FALSE)</f>
        <v>Riverside_N</v>
      </c>
      <c r="H196">
        <f t="shared" si="3"/>
        <v>1.4666666666666641</v>
      </c>
    </row>
    <row r="197" spans="1:8" x14ac:dyDescent="0.25">
      <c r="A197">
        <v>117503882</v>
      </c>
      <c r="B197" t="s">
        <v>17</v>
      </c>
      <c r="C197">
        <v>2.4845679012345599E-2</v>
      </c>
      <c r="D197">
        <v>1.1161498963112499</v>
      </c>
      <c r="E197">
        <v>0.27456758369323597</v>
      </c>
      <c r="F197">
        <v>27</v>
      </c>
      <c r="G197" t="str">
        <f>VLOOKUP(A197,[1]inrix_key!$A:$C,3,FALSE)</f>
        <v>Franklin_E</v>
      </c>
      <c r="H197">
        <f t="shared" si="3"/>
        <v>1.490740740740736</v>
      </c>
    </row>
    <row r="198" spans="1:8" x14ac:dyDescent="0.25">
      <c r="A198">
        <v>1187579027</v>
      </c>
      <c r="B198" t="s">
        <v>17</v>
      </c>
      <c r="C198">
        <v>2.4865591397849399E-2</v>
      </c>
      <c r="D198">
        <v>1.6780727244246301</v>
      </c>
      <c r="E198">
        <v>0.10372231193981001</v>
      </c>
      <c r="F198">
        <v>31</v>
      </c>
      <c r="G198" t="str">
        <f>VLOOKUP(A198,[1]inrix_key!$A:$C,3,FALSE)</f>
        <v>Fairview_E</v>
      </c>
      <c r="H198">
        <f t="shared" si="3"/>
        <v>1.491935483870964</v>
      </c>
    </row>
    <row r="199" spans="1:8" x14ac:dyDescent="0.25">
      <c r="A199">
        <v>448725596</v>
      </c>
      <c r="B199" t="s">
        <v>17</v>
      </c>
      <c r="C199">
        <v>2.53153153153153E-2</v>
      </c>
      <c r="D199">
        <v>3.41428836097099</v>
      </c>
      <c r="E199">
        <v>1.5974717312183899E-3</v>
      </c>
      <c r="F199">
        <v>37</v>
      </c>
      <c r="G199" t="str">
        <f>VLOOKUP(A199,[1]inrix_key!$A:$C,3,FALSE)</f>
        <v>Franklin_S</v>
      </c>
      <c r="H199">
        <f t="shared" si="3"/>
        <v>1.5189189189189181</v>
      </c>
    </row>
    <row r="200" spans="1:8" x14ac:dyDescent="0.25">
      <c r="A200">
        <v>448725596</v>
      </c>
      <c r="B200" t="s">
        <v>22</v>
      </c>
      <c r="C200">
        <v>2.5687499999999901E-2</v>
      </c>
      <c r="D200">
        <v>2.0174814546380602</v>
      </c>
      <c r="E200">
        <v>8.3439783157425895E-2</v>
      </c>
      <c r="F200">
        <v>8</v>
      </c>
      <c r="G200" t="str">
        <f>VLOOKUP(A200,[1]inrix_key!$A:$C,3,FALSE)</f>
        <v>Franklin_S</v>
      </c>
      <c r="H200">
        <f t="shared" si="3"/>
        <v>1.541249999999994</v>
      </c>
    </row>
    <row r="201" spans="1:8" x14ac:dyDescent="0.25">
      <c r="A201">
        <v>1187334983</v>
      </c>
      <c r="B201" t="s">
        <v>21</v>
      </c>
      <c r="C201">
        <v>2.5972222222222199E-2</v>
      </c>
      <c r="D201">
        <v>1.46332413586549</v>
      </c>
      <c r="E201">
        <v>0.20324767689371701</v>
      </c>
      <c r="F201">
        <v>6</v>
      </c>
      <c r="G201" t="str">
        <f>VLOOKUP(A201,[1]inrix_key!$A:$C,3,FALSE)</f>
        <v>Wainwright_N</v>
      </c>
      <c r="H201">
        <f t="shared" si="3"/>
        <v>1.558333333333332</v>
      </c>
    </row>
    <row r="202" spans="1:8" x14ac:dyDescent="0.25">
      <c r="A202">
        <v>448697010</v>
      </c>
      <c r="B202" t="s">
        <v>21</v>
      </c>
      <c r="C202">
        <v>2.68888888888889E-2</v>
      </c>
      <c r="D202">
        <v>1.3206909785435501</v>
      </c>
      <c r="E202">
        <v>0.24382123025164601</v>
      </c>
      <c r="F202">
        <v>6</v>
      </c>
      <c r="G202" t="str">
        <f>VLOOKUP(A202,[1]inrix_key!$A:$C,3,FALSE)</f>
        <v>RiverValley_N</v>
      </c>
      <c r="H202">
        <f t="shared" si="3"/>
        <v>1.613333333333334</v>
      </c>
    </row>
    <row r="203" spans="1:8" x14ac:dyDescent="0.25">
      <c r="A203">
        <v>1187654588</v>
      </c>
      <c r="B203" t="s">
        <v>20</v>
      </c>
      <c r="C203">
        <v>2.7622807017543799E-2</v>
      </c>
      <c r="D203">
        <v>2.4337581515044602</v>
      </c>
      <c r="E203">
        <v>1.98907232982386E-2</v>
      </c>
      <c r="F203">
        <v>38</v>
      </c>
      <c r="G203" t="str">
        <f>VLOOKUP(A203,[1]inrix_key!$A:$C,3,FALSE)</f>
        <v>Franklin_N</v>
      </c>
      <c r="H203">
        <f t="shared" si="3"/>
        <v>1.6573684210526278</v>
      </c>
    </row>
    <row r="204" spans="1:8" x14ac:dyDescent="0.25">
      <c r="A204">
        <v>1187579027</v>
      </c>
      <c r="B204" t="s">
        <v>21</v>
      </c>
      <c r="C204">
        <v>2.7866666666666599E-2</v>
      </c>
      <c r="D204">
        <v>0.59936462415345704</v>
      </c>
      <c r="E204">
        <v>0.58122541372651004</v>
      </c>
      <c r="F204">
        <v>5</v>
      </c>
      <c r="G204" t="str">
        <f>VLOOKUP(A204,[1]inrix_key!$A:$C,3,FALSE)</f>
        <v>Fairview_E</v>
      </c>
      <c r="H204">
        <f t="shared" si="3"/>
        <v>1.6719999999999959</v>
      </c>
    </row>
    <row r="205" spans="1:8" x14ac:dyDescent="0.25">
      <c r="A205">
        <v>484366819</v>
      </c>
      <c r="B205" t="s">
        <v>20</v>
      </c>
      <c r="C205">
        <v>2.8322580645161199E-2</v>
      </c>
      <c r="D205">
        <v>1.6807160479221499</v>
      </c>
      <c r="E205">
        <v>0.103202760337614</v>
      </c>
      <c r="F205">
        <v>31</v>
      </c>
      <c r="G205" t="str">
        <f>VLOOKUP(A205,[1]inrix_key!$A:$C,3,FALSE)</f>
        <v>Pine_E</v>
      </c>
      <c r="H205">
        <f t="shared" si="3"/>
        <v>1.699354838709672</v>
      </c>
    </row>
    <row r="206" spans="1:8" x14ac:dyDescent="0.25">
      <c r="A206">
        <v>1187334983</v>
      </c>
      <c r="B206" t="s">
        <v>19</v>
      </c>
      <c r="C206">
        <v>2.8749999999999901E-2</v>
      </c>
      <c r="D206">
        <v>6.0852280154485499</v>
      </c>
      <c r="E206">
        <v>4.9828891809222003E-4</v>
      </c>
      <c r="F206">
        <v>8</v>
      </c>
      <c r="G206" t="str">
        <f>VLOOKUP(A206,[1]inrix_key!$A:$C,3,FALSE)</f>
        <v>Wainwright_N</v>
      </c>
      <c r="H206">
        <f t="shared" si="3"/>
        <v>1.7249999999999941</v>
      </c>
    </row>
    <row r="207" spans="1:8" x14ac:dyDescent="0.25">
      <c r="A207">
        <v>117772024</v>
      </c>
      <c r="B207" t="s">
        <v>19</v>
      </c>
      <c r="C207">
        <v>2.9166666666666601E-2</v>
      </c>
      <c r="D207">
        <v>1.61035585127695</v>
      </c>
      <c r="E207">
        <v>0.158445938843676</v>
      </c>
      <c r="F207">
        <v>7</v>
      </c>
      <c r="G207" t="str">
        <f>VLOOKUP(A207,[1]inrix_key!$A:$C,3,FALSE)</f>
        <v>IslandWood_W</v>
      </c>
      <c r="H207">
        <f t="shared" si="3"/>
        <v>1.749999999999996</v>
      </c>
    </row>
    <row r="208" spans="1:8" x14ac:dyDescent="0.25">
      <c r="A208">
        <v>448695752</v>
      </c>
      <c r="B208" t="s">
        <v>19</v>
      </c>
      <c r="C208">
        <v>2.9374999999999998E-2</v>
      </c>
      <c r="D208">
        <v>3.2075053368147701</v>
      </c>
      <c r="E208">
        <v>1.4909612820848199E-2</v>
      </c>
      <c r="F208">
        <v>8</v>
      </c>
      <c r="G208" t="str">
        <f>VLOOKUP(A208,[1]inrix_key!$A:$C,3,FALSE)</f>
        <v>IslandWood_N</v>
      </c>
      <c r="H208">
        <f t="shared" si="3"/>
        <v>1.7625</v>
      </c>
    </row>
    <row r="209" spans="1:8" x14ac:dyDescent="0.25">
      <c r="A209">
        <v>1187636735</v>
      </c>
      <c r="B209" t="s">
        <v>21</v>
      </c>
      <c r="C209">
        <v>3.0277777777777699E-2</v>
      </c>
      <c r="D209">
        <v>0.98364394880320705</v>
      </c>
      <c r="E209">
        <v>0.37046252895625298</v>
      </c>
      <c r="F209">
        <v>6</v>
      </c>
      <c r="G209" t="str">
        <f>VLOOKUP(A209,[1]inrix_key!$A:$C,3,FALSE)</f>
        <v>WB_E</v>
      </c>
      <c r="H209">
        <f t="shared" si="3"/>
        <v>1.816666666666662</v>
      </c>
    </row>
    <row r="210" spans="1:8" x14ac:dyDescent="0.25">
      <c r="A210">
        <v>1187549053</v>
      </c>
      <c r="B210" t="s">
        <v>20</v>
      </c>
      <c r="C210">
        <v>3.0418918918918899E-2</v>
      </c>
      <c r="D210">
        <v>3.75042672924469</v>
      </c>
      <c r="E210">
        <v>6.2025090261836604E-4</v>
      </c>
      <c r="F210">
        <v>37</v>
      </c>
      <c r="G210" t="str">
        <f>VLOOKUP(A210,[1]inrix_key!$A:$C,3,FALSE)</f>
        <v>HobbleCreek_S</v>
      </c>
      <c r="H210">
        <f t="shared" si="3"/>
        <v>1.8251351351351339</v>
      </c>
    </row>
    <row r="211" spans="1:8" x14ac:dyDescent="0.25">
      <c r="A211">
        <v>448695753</v>
      </c>
      <c r="B211" t="s">
        <v>21</v>
      </c>
      <c r="C211">
        <v>3.11111111111111E-2</v>
      </c>
      <c r="D211">
        <v>1.1329905656167201</v>
      </c>
      <c r="E211">
        <v>0.37476008095293301</v>
      </c>
      <c r="F211">
        <v>3</v>
      </c>
      <c r="G211" t="str">
        <f>VLOOKUP(A211,[1]inrix_key!$A:$C,3,FALSE)</f>
        <v>Riverside_S</v>
      </c>
      <c r="H211">
        <f t="shared" si="3"/>
        <v>1.866666666666666</v>
      </c>
    </row>
    <row r="212" spans="1:8" x14ac:dyDescent="0.25">
      <c r="A212">
        <v>119269713</v>
      </c>
      <c r="B212" t="s">
        <v>19</v>
      </c>
      <c r="C212">
        <v>3.2708333333333298E-2</v>
      </c>
      <c r="D212">
        <v>0.97484371799035896</v>
      </c>
      <c r="E212">
        <v>0.362114047589216</v>
      </c>
      <c r="F212">
        <v>8</v>
      </c>
      <c r="G212" t="str">
        <f>VLOOKUP(A212,[1]inrix_key!$A:$C,3,FALSE)</f>
        <v>Colchester_E</v>
      </c>
      <c r="H212">
        <f t="shared" si="3"/>
        <v>1.9624999999999979</v>
      </c>
    </row>
    <row r="213" spans="1:8" x14ac:dyDescent="0.25">
      <c r="A213">
        <v>1187548987</v>
      </c>
      <c r="B213" t="s">
        <v>17</v>
      </c>
      <c r="C213">
        <v>3.2844827586206798E-2</v>
      </c>
      <c r="D213">
        <v>4.7617619368591999</v>
      </c>
      <c r="E213" s="1">
        <v>5.3194456482635802E-5</v>
      </c>
      <c r="F213">
        <v>29</v>
      </c>
      <c r="G213" t="str">
        <f>VLOOKUP(A213,[1]inrix_key!$A:$C,3,FALSE)</f>
        <v>McMillan_S</v>
      </c>
      <c r="H213">
        <f t="shared" si="3"/>
        <v>1.970689655172408</v>
      </c>
    </row>
    <row r="214" spans="1:8" x14ac:dyDescent="0.25">
      <c r="A214">
        <v>117772024</v>
      </c>
      <c r="B214" t="s">
        <v>20</v>
      </c>
      <c r="C214">
        <v>3.3979166666666602E-2</v>
      </c>
      <c r="D214">
        <v>3.2699221447442701</v>
      </c>
      <c r="E214">
        <v>3.36500256479896E-3</v>
      </c>
      <c r="F214">
        <v>24</v>
      </c>
      <c r="G214" t="str">
        <f>VLOOKUP(A214,[1]inrix_key!$A:$C,3,FALSE)</f>
        <v>IslandWood_W</v>
      </c>
      <c r="H214">
        <f t="shared" si="3"/>
        <v>2.0387499999999963</v>
      </c>
    </row>
    <row r="215" spans="1:8" x14ac:dyDescent="0.25">
      <c r="A215">
        <v>448695753</v>
      </c>
      <c r="B215" t="s">
        <v>22</v>
      </c>
      <c r="C215">
        <v>3.4374999999999899E-2</v>
      </c>
      <c r="D215">
        <v>1.88271014259606</v>
      </c>
      <c r="E215">
        <v>0.101759823630001</v>
      </c>
      <c r="F215">
        <v>8</v>
      </c>
      <c r="G215" t="str">
        <f>VLOOKUP(A215,[1]inrix_key!$A:$C,3,FALSE)</f>
        <v>Riverside_S</v>
      </c>
      <c r="H215">
        <f t="shared" si="3"/>
        <v>2.0624999999999938</v>
      </c>
    </row>
    <row r="216" spans="1:8" x14ac:dyDescent="0.25">
      <c r="A216">
        <v>1187612015</v>
      </c>
      <c r="B216" t="s">
        <v>19</v>
      </c>
      <c r="C216">
        <v>3.4687500000000003E-2</v>
      </c>
      <c r="D216">
        <v>3.3254662045531802</v>
      </c>
      <c r="E216">
        <v>1.26696222437925E-2</v>
      </c>
      <c r="F216">
        <v>8</v>
      </c>
      <c r="G216" t="str">
        <f>VLOOKUP(A216,[1]inrix_key!$A:$C,3,FALSE)</f>
        <v>Chinden_W</v>
      </c>
      <c r="H216">
        <f t="shared" si="3"/>
        <v>2.0812500000000003</v>
      </c>
    </row>
    <row r="217" spans="1:8" x14ac:dyDescent="0.25">
      <c r="A217">
        <v>448697010</v>
      </c>
      <c r="B217" t="s">
        <v>18</v>
      </c>
      <c r="C217">
        <v>3.5000000000000003E-2</v>
      </c>
      <c r="D217">
        <v>4.3551971178678102</v>
      </c>
      <c r="E217">
        <v>4.8887291318538903E-2</v>
      </c>
      <c r="F217">
        <v>3</v>
      </c>
      <c r="G217" t="str">
        <f>VLOOKUP(A217,[1]inrix_key!$A:$C,3,FALSE)</f>
        <v>RiverValley_N</v>
      </c>
      <c r="H217">
        <f t="shared" si="3"/>
        <v>2.1</v>
      </c>
    </row>
    <row r="218" spans="1:8" x14ac:dyDescent="0.25">
      <c r="A218">
        <v>448725595</v>
      </c>
      <c r="B218" t="s">
        <v>20</v>
      </c>
      <c r="C218">
        <v>3.5429824561403499E-2</v>
      </c>
      <c r="D218">
        <v>4.8361095108412897</v>
      </c>
      <c r="E218" s="1">
        <v>2.3380627490873301E-5</v>
      </c>
      <c r="F218">
        <v>38</v>
      </c>
      <c r="G218" t="str">
        <f>VLOOKUP(A218,[1]inrix_key!$A:$C,3,FALSE)</f>
        <v>StLukes_S</v>
      </c>
      <c r="H218">
        <f t="shared" si="3"/>
        <v>2.1257894736842098</v>
      </c>
    </row>
    <row r="219" spans="1:8" x14ac:dyDescent="0.25">
      <c r="A219">
        <v>384139881</v>
      </c>
      <c r="B219" t="s">
        <v>17</v>
      </c>
      <c r="C219">
        <v>3.5615942028985402E-2</v>
      </c>
      <c r="D219">
        <v>3.5172131042499002</v>
      </c>
      <c r="E219">
        <v>1.94218286827511E-3</v>
      </c>
      <c r="F219">
        <v>23</v>
      </c>
      <c r="G219" t="str">
        <f>VLOOKUP(A219,[1]inrix_key!$A:$C,3,FALSE)</f>
        <v>Pine_W</v>
      </c>
      <c r="H219">
        <f t="shared" si="3"/>
        <v>2.136956521739124</v>
      </c>
    </row>
    <row r="220" spans="1:8" x14ac:dyDescent="0.25">
      <c r="A220">
        <v>448695753</v>
      </c>
      <c r="B220" t="s">
        <v>20</v>
      </c>
      <c r="C220">
        <v>3.6347619047618997E-2</v>
      </c>
      <c r="D220">
        <v>4.7736035082891801</v>
      </c>
      <c r="E220" s="1">
        <v>3.3701577731671803E-5</v>
      </c>
      <c r="F220">
        <v>35</v>
      </c>
      <c r="G220" t="str">
        <f>VLOOKUP(A220,[1]inrix_key!$A:$C,3,FALSE)</f>
        <v>Riverside_S</v>
      </c>
      <c r="H220">
        <f t="shared" si="3"/>
        <v>2.1808571428571399</v>
      </c>
    </row>
    <row r="221" spans="1:8" x14ac:dyDescent="0.25">
      <c r="A221">
        <v>1187548947</v>
      </c>
      <c r="B221" t="s">
        <v>17</v>
      </c>
      <c r="C221">
        <v>3.6712962962962899E-2</v>
      </c>
      <c r="D221">
        <v>3.1142227634298201</v>
      </c>
      <c r="E221">
        <v>3.66712223176435E-3</v>
      </c>
      <c r="F221">
        <v>36</v>
      </c>
      <c r="G221" t="str">
        <f>VLOOKUP(A221,[1]inrix_key!$A:$C,3,FALSE)</f>
        <v>Fairview_S</v>
      </c>
      <c r="H221">
        <f t="shared" si="3"/>
        <v>2.2027777777777739</v>
      </c>
    </row>
    <row r="222" spans="1:8" x14ac:dyDescent="0.25">
      <c r="A222">
        <v>1187327938</v>
      </c>
      <c r="B222" t="s">
        <v>20</v>
      </c>
      <c r="C222">
        <v>3.7010416666666601E-2</v>
      </c>
      <c r="D222">
        <v>2.2593022644677401</v>
      </c>
      <c r="E222">
        <v>3.1041413674241999E-2</v>
      </c>
      <c r="F222">
        <v>32</v>
      </c>
      <c r="G222" t="str">
        <f>VLOOKUP(A222,[1]inrix_key!$A:$C,3,FALSE)</f>
        <v>Franklin_W</v>
      </c>
      <c r="H222">
        <f t="shared" si="3"/>
        <v>2.2206249999999961</v>
      </c>
    </row>
    <row r="223" spans="1:8" x14ac:dyDescent="0.25">
      <c r="A223">
        <v>1187466917</v>
      </c>
      <c r="B223" t="s">
        <v>17</v>
      </c>
      <c r="C223">
        <v>3.7833333333333302E-2</v>
      </c>
      <c r="D223">
        <v>3.2437399132948501</v>
      </c>
      <c r="E223">
        <v>3.4541216976472799E-3</v>
      </c>
      <c r="F223">
        <v>25</v>
      </c>
      <c r="G223" t="str">
        <f>VLOOKUP(A223,[1]inrix_key!$A:$C,3,FALSE)</f>
        <v>Colchester_S</v>
      </c>
      <c r="H223">
        <f t="shared" si="3"/>
        <v>2.2699999999999982</v>
      </c>
    </row>
    <row r="224" spans="1:8" x14ac:dyDescent="0.25">
      <c r="A224">
        <v>448725596</v>
      </c>
      <c r="B224" t="s">
        <v>20</v>
      </c>
      <c r="C224">
        <v>3.8399122807017502E-2</v>
      </c>
      <c r="D224">
        <v>5.9878260350801096</v>
      </c>
      <c r="E224" s="1">
        <v>6.5215632309501395E-7</v>
      </c>
      <c r="F224">
        <v>38</v>
      </c>
      <c r="G224" t="str">
        <f>VLOOKUP(A224,[1]inrix_key!$A:$C,3,FALSE)</f>
        <v>Franklin_S</v>
      </c>
      <c r="H224">
        <f t="shared" si="3"/>
        <v>2.3039473684210501</v>
      </c>
    </row>
    <row r="225" spans="1:8" x14ac:dyDescent="0.25">
      <c r="A225">
        <v>448697008</v>
      </c>
      <c r="B225" t="s">
        <v>17</v>
      </c>
      <c r="C225">
        <v>4.0172413793103399E-2</v>
      </c>
      <c r="D225">
        <v>5.5093592239310398</v>
      </c>
      <c r="E225" s="1">
        <v>6.9060115617062403E-6</v>
      </c>
      <c r="F225">
        <v>29</v>
      </c>
      <c r="G225" t="str">
        <f>VLOOKUP(A225,[1]inrix_key!$A:$C,3,FALSE)</f>
        <v>RiverValley_S</v>
      </c>
      <c r="H225">
        <f t="shared" si="3"/>
        <v>2.4103448275862038</v>
      </c>
    </row>
    <row r="226" spans="1:8" x14ac:dyDescent="0.25">
      <c r="A226">
        <v>448695753</v>
      </c>
      <c r="B226" t="s">
        <v>17</v>
      </c>
      <c r="C226">
        <v>4.0977011494252799E-2</v>
      </c>
      <c r="D226">
        <v>6.6642062713282701</v>
      </c>
      <c r="E226" s="1">
        <v>3.1247521434383699E-7</v>
      </c>
      <c r="F226">
        <v>29</v>
      </c>
      <c r="G226" t="str">
        <f>VLOOKUP(A226,[1]inrix_key!$A:$C,3,FALSE)</f>
        <v>Riverside_S</v>
      </c>
      <c r="H226">
        <f t="shared" si="3"/>
        <v>2.4586206896551679</v>
      </c>
    </row>
    <row r="227" spans="1:8" x14ac:dyDescent="0.25">
      <c r="A227">
        <v>1187517040</v>
      </c>
      <c r="B227" t="s">
        <v>17</v>
      </c>
      <c r="C227">
        <v>4.2083333333333299E-2</v>
      </c>
      <c r="D227">
        <v>5.8564455152351202</v>
      </c>
      <c r="E227" s="1">
        <v>2.3632337851138299E-6</v>
      </c>
      <c r="F227">
        <v>30</v>
      </c>
      <c r="G227" t="str">
        <f>VLOOKUP(A227,[1]inrix_key!$A:$C,3,FALSE)</f>
        <v>Wainwright_S</v>
      </c>
      <c r="H227">
        <f t="shared" si="3"/>
        <v>2.5249999999999981</v>
      </c>
    </row>
    <row r="228" spans="1:8" x14ac:dyDescent="0.25">
      <c r="A228">
        <v>448725597</v>
      </c>
      <c r="B228" t="s">
        <v>17</v>
      </c>
      <c r="C228">
        <v>4.2307692307692199E-2</v>
      </c>
      <c r="D228">
        <v>2.2312597633315101</v>
      </c>
      <c r="E228">
        <v>3.4867993741945401E-2</v>
      </c>
      <c r="F228">
        <v>26</v>
      </c>
      <c r="G228" t="str">
        <f>VLOOKUP(A228,[1]inrix_key!$A:$C,3,FALSE)</f>
        <v>Ustick_E</v>
      </c>
      <c r="H228">
        <f t="shared" si="3"/>
        <v>2.5384615384615321</v>
      </c>
    </row>
    <row r="229" spans="1:8" x14ac:dyDescent="0.25">
      <c r="A229">
        <v>1187333605</v>
      </c>
      <c r="B229" t="s">
        <v>20</v>
      </c>
      <c r="C229">
        <v>4.2393518518518497E-2</v>
      </c>
      <c r="D229">
        <v>4.4891769239574399</v>
      </c>
      <c r="E229" s="1">
        <v>7.42483567897031E-5</v>
      </c>
      <c r="F229">
        <v>36</v>
      </c>
      <c r="G229" t="str">
        <f>VLOOKUP(A229,[1]inrix_key!$A:$C,3,FALSE)</f>
        <v>Colchester_N</v>
      </c>
      <c r="H229">
        <f t="shared" si="3"/>
        <v>2.5436111111111099</v>
      </c>
    </row>
    <row r="230" spans="1:8" x14ac:dyDescent="0.25">
      <c r="A230">
        <v>1187466917</v>
      </c>
      <c r="B230" t="s">
        <v>20</v>
      </c>
      <c r="C230">
        <v>4.3057142857142801E-2</v>
      </c>
      <c r="D230">
        <v>4.0127135463693397</v>
      </c>
      <c r="E230">
        <v>3.12228633189971E-4</v>
      </c>
      <c r="F230">
        <v>35</v>
      </c>
      <c r="G230" t="str">
        <f>VLOOKUP(A230,[1]inrix_key!$A:$C,3,FALSE)</f>
        <v>Colchester_S</v>
      </c>
      <c r="H230">
        <f t="shared" si="3"/>
        <v>2.5834285714285681</v>
      </c>
    </row>
    <row r="231" spans="1:8" x14ac:dyDescent="0.25">
      <c r="A231">
        <v>1187466896</v>
      </c>
      <c r="B231" t="s">
        <v>20</v>
      </c>
      <c r="C231">
        <v>4.4324074074074002E-2</v>
      </c>
      <c r="D231">
        <v>5.6890033158623403</v>
      </c>
      <c r="E231" s="1">
        <v>1.98464808144466E-6</v>
      </c>
      <c r="F231">
        <v>36</v>
      </c>
      <c r="G231" t="str">
        <f>VLOOKUP(A231,[1]inrix_key!$A:$C,3,FALSE)</f>
        <v>IslandWood_S</v>
      </c>
      <c r="H231">
        <f t="shared" si="3"/>
        <v>2.6594444444444401</v>
      </c>
    </row>
    <row r="232" spans="1:8" x14ac:dyDescent="0.25">
      <c r="A232">
        <v>1187334983</v>
      </c>
      <c r="B232" t="s">
        <v>17</v>
      </c>
      <c r="C232">
        <v>4.4545454545454499E-2</v>
      </c>
      <c r="D232">
        <v>5.7303618204408799</v>
      </c>
      <c r="E232" s="1">
        <v>2.3726074383694199E-6</v>
      </c>
      <c r="F232">
        <v>33</v>
      </c>
      <c r="G232" t="str">
        <f>VLOOKUP(A232,[1]inrix_key!$A:$C,3,FALSE)</f>
        <v>Wainwright_N</v>
      </c>
      <c r="H232">
        <f t="shared" si="3"/>
        <v>2.6727272727272702</v>
      </c>
    </row>
    <row r="233" spans="1:8" x14ac:dyDescent="0.25">
      <c r="A233">
        <v>1187586311</v>
      </c>
      <c r="B233" t="s">
        <v>18</v>
      </c>
      <c r="C233">
        <v>4.5499999999999999E-2</v>
      </c>
      <c r="D233">
        <v>1.3948919973282901</v>
      </c>
      <c r="E233">
        <v>0.235518540224814</v>
      </c>
      <c r="F233">
        <v>5</v>
      </c>
      <c r="G233" t="str">
        <f>VLOOKUP(A233,[1]inrix_key!$A:$C,3,FALSE)</f>
        <v>EB_W</v>
      </c>
      <c r="H233">
        <f t="shared" si="3"/>
        <v>2.73</v>
      </c>
    </row>
    <row r="234" spans="1:8" x14ac:dyDescent="0.25">
      <c r="A234">
        <v>1187466896</v>
      </c>
      <c r="B234" t="s">
        <v>22</v>
      </c>
      <c r="C234">
        <v>4.5749999999999902E-2</v>
      </c>
      <c r="D234">
        <v>2.6051872445255801</v>
      </c>
      <c r="E234">
        <v>3.5158702406966197E-2</v>
      </c>
      <c r="F234">
        <v>8</v>
      </c>
      <c r="G234" t="str">
        <f>VLOOKUP(A234,[1]inrix_key!$A:$C,3,FALSE)</f>
        <v>IslandWood_S</v>
      </c>
      <c r="H234">
        <f t="shared" si="3"/>
        <v>2.7449999999999939</v>
      </c>
    </row>
    <row r="235" spans="1:8" x14ac:dyDescent="0.25">
      <c r="A235">
        <v>1187327938</v>
      </c>
      <c r="B235" t="s">
        <v>18</v>
      </c>
      <c r="C235">
        <v>4.7083333333333303E-2</v>
      </c>
      <c r="D235">
        <v>1.7585551875855201</v>
      </c>
      <c r="E235">
        <v>0.17689301663286799</v>
      </c>
      <c r="F235">
        <v>4</v>
      </c>
      <c r="G235" t="str">
        <f>VLOOKUP(A235,[1]inrix_key!$A:$C,3,FALSE)</f>
        <v>Franklin_W</v>
      </c>
      <c r="H235">
        <f t="shared" si="3"/>
        <v>2.8249999999999984</v>
      </c>
    </row>
    <row r="236" spans="1:8" x14ac:dyDescent="0.25">
      <c r="A236">
        <v>1187333605</v>
      </c>
      <c r="B236" t="s">
        <v>17</v>
      </c>
      <c r="C236">
        <v>4.7238095238095197E-2</v>
      </c>
      <c r="D236">
        <v>6.3415354780366302</v>
      </c>
      <c r="E236" s="1">
        <v>3.1127617146378601E-7</v>
      </c>
      <c r="F236">
        <v>35</v>
      </c>
      <c r="G236" t="str">
        <f>VLOOKUP(A236,[1]inrix_key!$A:$C,3,FALSE)</f>
        <v>Colchester_N</v>
      </c>
      <c r="H236">
        <f t="shared" si="3"/>
        <v>2.8342857142857119</v>
      </c>
    </row>
    <row r="237" spans="1:8" x14ac:dyDescent="0.25">
      <c r="A237">
        <v>117503882</v>
      </c>
      <c r="B237" t="s">
        <v>19</v>
      </c>
      <c r="C237">
        <v>4.7916666666666601E-2</v>
      </c>
      <c r="D237">
        <v>1.91404803505188</v>
      </c>
      <c r="E237">
        <v>9.7177117573609195E-2</v>
      </c>
      <c r="F237">
        <v>8</v>
      </c>
      <c r="G237" t="str">
        <f>VLOOKUP(A237,[1]inrix_key!$A:$C,3,FALSE)</f>
        <v>Franklin_E</v>
      </c>
      <c r="H237">
        <f t="shared" si="3"/>
        <v>2.874999999999996</v>
      </c>
    </row>
    <row r="238" spans="1:8" x14ac:dyDescent="0.25">
      <c r="A238">
        <v>1187654588</v>
      </c>
      <c r="B238" t="s">
        <v>19</v>
      </c>
      <c r="C238">
        <v>4.8749999999999898E-2</v>
      </c>
      <c r="D238">
        <v>2.3194805224200001</v>
      </c>
      <c r="E238">
        <v>5.3435322644875098E-2</v>
      </c>
      <c r="F238">
        <v>8</v>
      </c>
      <c r="G238" t="str">
        <f>VLOOKUP(A238,[1]inrix_key!$A:$C,3,FALSE)</f>
        <v>Franklin_N</v>
      </c>
      <c r="H238">
        <f t="shared" si="3"/>
        <v>2.924999999999994</v>
      </c>
    </row>
    <row r="239" spans="1:8" x14ac:dyDescent="0.25">
      <c r="A239">
        <v>448697011</v>
      </c>
      <c r="B239" t="s">
        <v>19</v>
      </c>
      <c r="C239">
        <v>4.8750000000000002E-2</v>
      </c>
      <c r="D239">
        <v>3.6945906403822302</v>
      </c>
      <c r="E239">
        <v>7.70977602917938E-3</v>
      </c>
      <c r="F239">
        <v>8</v>
      </c>
      <c r="G239" t="str">
        <f>VLOOKUP(A239,[1]inrix_key!$A:$C,3,FALSE)</f>
        <v>Fairview_N</v>
      </c>
      <c r="H239">
        <f t="shared" si="3"/>
        <v>2.9250000000000003</v>
      </c>
    </row>
    <row r="240" spans="1:8" x14ac:dyDescent="0.25">
      <c r="A240">
        <v>1187654609</v>
      </c>
      <c r="B240" t="s">
        <v>18</v>
      </c>
      <c r="C240">
        <v>4.8888888888888898E-2</v>
      </c>
      <c r="D240">
        <v>1.2371379877408499</v>
      </c>
      <c r="E240">
        <v>0.34158548728230298</v>
      </c>
      <c r="F240">
        <v>3</v>
      </c>
      <c r="G240" t="str">
        <f>VLOOKUP(A240,[1]inrix_key!$A:$C,3,FALSE)</f>
        <v>Pine_N</v>
      </c>
      <c r="H240">
        <f t="shared" si="3"/>
        <v>2.933333333333334</v>
      </c>
    </row>
    <row r="241" spans="1:8" x14ac:dyDescent="0.25">
      <c r="A241">
        <v>1187548987</v>
      </c>
      <c r="B241" t="s">
        <v>19</v>
      </c>
      <c r="C241">
        <v>4.9375000000000002E-2</v>
      </c>
      <c r="D241">
        <v>3.6748445172084301</v>
      </c>
      <c r="E241">
        <v>7.9134005535556207E-3</v>
      </c>
      <c r="F241">
        <v>8</v>
      </c>
      <c r="G241" t="str">
        <f>VLOOKUP(A241,[1]inrix_key!$A:$C,3,FALSE)</f>
        <v>McMillan_S</v>
      </c>
      <c r="H241">
        <f t="shared" si="3"/>
        <v>2.9625000000000004</v>
      </c>
    </row>
    <row r="242" spans="1:8" x14ac:dyDescent="0.25">
      <c r="A242">
        <v>448695752</v>
      </c>
      <c r="B242" t="s">
        <v>18</v>
      </c>
      <c r="C242">
        <v>5.0555555555555499E-2</v>
      </c>
      <c r="D242">
        <v>3.4618031489338299</v>
      </c>
      <c r="E242">
        <v>7.4267730992476605E-2</v>
      </c>
      <c r="F242">
        <v>3</v>
      </c>
      <c r="G242" t="str">
        <f>VLOOKUP(A242,[1]inrix_key!$A:$C,3,FALSE)</f>
        <v>IslandWood_N</v>
      </c>
      <c r="H242">
        <f t="shared" si="3"/>
        <v>3.0333333333333301</v>
      </c>
    </row>
    <row r="243" spans="1:8" x14ac:dyDescent="0.25">
      <c r="A243">
        <v>448725599</v>
      </c>
      <c r="B243" t="s">
        <v>20</v>
      </c>
      <c r="C243">
        <v>5.1568627450980301E-2</v>
      </c>
      <c r="D243">
        <v>3.5658365602250499</v>
      </c>
      <c r="E243">
        <v>1.1319961115106301E-3</v>
      </c>
      <c r="F243">
        <v>34</v>
      </c>
      <c r="G243" t="str">
        <f>VLOOKUP(A243,[1]inrix_key!$A:$C,3,FALSE)</f>
        <v>Chinden_S</v>
      </c>
      <c r="H243">
        <f t="shared" si="3"/>
        <v>3.0941176470588179</v>
      </c>
    </row>
    <row r="244" spans="1:8" x14ac:dyDescent="0.25">
      <c r="A244">
        <v>1187517040</v>
      </c>
      <c r="B244" t="s">
        <v>18</v>
      </c>
      <c r="C244">
        <v>5.1666666666666597E-2</v>
      </c>
      <c r="D244">
        <v>1.97248276522491</v>
      </c>
      <c r="E244">
        <v>0.187300117105731</v>
      </c>
      <c r="F244">
        <v>3</v>
      </c>
      <c r="G244" t="str">
        <f>VLOOKUP(A244,[1]inrix_key!$A:$C,3,FALSE)</f>
        <v>Wainwright_S</v>
      </c>
      <c r="H244">
        <f t="shared" si="3"/>
        <v>3.0999999999999956</v>
      </c>
    </row>
    <row r="245" spans="1:8" x14ac:dyDescent="0.25">
      <c r="A245">
        <v>1187549053</v>
      </c>
      <c r="B245" t="s">
        <v>18</v>
      </c>
      <c r="C245">
        <v>5.2499999999999901E-2</v>
      </c>
      <c r="D245">
        <v>3.4999999999999898</v>
      </c>
      <c r="E245">
        <v>0.177171065565809</v>
      </c>
      <c r="F245">
        <v>2</v>
      </c>
      <c r="G245" t="str">
        <f>VLOOKUP(A245,[1]inrix_key!$A:$C,3,FALSE)</f>
        <v>HobbleCreek_S</v>
      </c>
      <c r="H245">
        <f t="shared" si="3"/>
        <v>3.1499999999999941</v>
      </c>
    </row>
    <row r="246" spans="1:8" x14ac:dyDescent="0.25">
      <c r="A246">
        <v>1187548975</v>
      </c>
      <c r="B246" t="s">
        <v>20</v>
      </c>
      <c r="C246">
        <v>5.2729729729729703E-2</v>
      </c>
      <c r="D246">
        <v>4.0815788760387504</v>
      </c>
      <c r="E246">
        <v>2.3744197524374101E-4</v>
      </c>
      <c r="F246">
        <v>37</v>
      </c>
      <c r="G246" t="str">
        <f>VLOOKUP(A246,[1]inrix_key!$A:$C,3,FALSE)</f>
        <v>Pine_S</v>
      </c>
      <c r="H246">
        <f t="shared" si="3"/>
        <v>3.1637837837837823</v>
      </c>
    </row>
    <row r="247" spans="1:8" x14ac:dyDescent="0.25">
      <c r="A247">
        <v>119269713</v>
      </c>
      <c r="B247" t="s">
        <v>17</v>
      </c>
      <c r="C247">
        <v>5.3787878787878697E-2</v>
      </c>
      <c r="D247">
        <v>4.2062322773419201</v>
      </c>
      <c r="E247">
        <v>3.9680845123115602E-4</v>
      </c>
      <c r="F247">
        <v>22</v>
      </c>
      <c r="G247" t="str">
        <f>VLOOKUP(A247,[1]inrix_key!$A:$C,3,FALSE)</f>
        <v>Colchester_E</v>
      </c>
      <c r="H247">
        <f t="shared" si="3"/>
        <v>3.2272727272727217</v>
      </c>
    </row>
    <row r="248" spans="1:8" x14ac:dyDescent="0.25">
      <c r="A248">
        <v>1187548975</v>
      </c>
      <c r="B248" t="s">
        <v>17</v>
      </c>
      <c r="C248">
        <v>5.4606481481481402E-2</v>
      </c>
      <c r="D248">
        <v>4.5330903804504397</v>
      </c>
      <c r="E248" s="1">
        <v>6.51535864454991E-5</v>
      </c>
      <c r="F248">
        <v>36</v>
      </c>
      <c r="G248" t="str">
        <f>VLOOKUP(A248,[1]inrix_key!$A:$C,3,FALSE)</f>
        <v>Pine_S</v>
      </c>
      <c r="H248">
        <f t="shared" si="3"/>
        <v>3.2763888888888841</v>
      </c>
    </row>
    <row r="249" spans="1:8" x14ac:dyDescent="0.25">
      <c r="A249">
        <v>1187548987</v>
      </c>
      <c r="B249" t="s">
        <v>18</v>
      </c>
      <c r="C249">
        <v>5.6249999999999897E-2</v>
      </c>
      <c r="D249">
        <v>2.1428571428571299</v>
      </c>
      <c r="E249">
        <v>0.27796548309000002</v>
      </c>
      <c r="F249">
        <v>2</v>
      </c>
      <c r="G249" t="str">
        <f>VLOOKUP(A249,[1]inrix_key!$A:$C,3,FALSE)</f>
        <v>McMillan_S</v>
      </c>
      <c r="H249">
        <f t="shared" si="3"/>
        <v>3.3749999999999938</v>
      </c>
    </row>
    <row r="250" spans="1:8" x14ac:dyDescent="0.25">
      <c r="A250">
        <v>448695751</v>
      </c>
      <c r="B250" t="s">
        <v>22</v>
      </c>
      <c r="C250">
        <v>5.6812499999999898E-2</v>
      </c>
      <c r="D250">
        <v>1.8765348944634599</v>
      </c>
      <c r="E250">
        <v>0.102687344554853</v>
      </c>
      <c r="F250">
        <v>8</v>
      </c>
      <c r="G250" t="str">
        <f>VLOOKUP(A250,[1]inrix_key!$A:$C,3,FALSE)</f>
        <v>Riverside_N</v>
      </c>
      <c r="H250">
        <f t="shared" si="3"/>
        <v>3.4087499999999937</v>
      </c>
    </row>
    <row r="251" spans="1:8" x14ac:dyDescent="0.25">
      <c r="A251">
        <v>1187549053</v>
      </c>
      <c r="B251" t="s">
        <v>17</v>
      </c>
      <c r="C251">
        <v>5.7155172413793101E-2</v>
      </c>
      <c r="D251">
        <v>8.3870792780884091</v>
      </c>
      <c r="E251" s="1">
        <v>4.0128094189533099E-9</v>
      </c>
      <c r="F251">
        <v>29</v>
      </c>
      <c r="G251" t="str">
        <f>VLOOKUP(A251,[1]inrix_key!$A:$C,3,FALSE)</f>
        <v>HobbleCreek_S</v>
      </c>
      <c r="H251">
        <f t="shared" si="3"/>
        <v>3.4293103448275861</v>
      </c>
    </row>
    <row r="252" spans="1:8" x14ac:dyDescent="0.25">
      <c r="A252">
        <v>448695753</v>
      </c>
      <c r="B252" t="s">
        <v>19</v>
      </c>
      <c r="C252">
        <v>5.8437500000000003E-2</v>
      </c>
      <c r="D252">
        <v>5.7799959055533501</v>
      </c>
      <c r="E252">
        <v>6.7725406933261199E-4</v>
      </c>
      <c r="F252">
        <v>8</v>
      </c>
      <c r="G252" t="str">
        <f>VLOOKUP(A252,[1]inrix_key!$A:$C,3,FALSE)</f>
        <v>Riverside_S</v>
      </c>
      <c r="H252">
        <f t="shared" si="3"/>
        <v>3.5062500000000001</v>
      </c>
    </row>
    <row r="253" spans="1:8" x14ac:dyDescent="0.25">
      <c r="A253">
        <v>448694757</v>
      </c>
      <c r="B253" t="s">
        <v>19</v>
      </c>
      <c r="C253">
        <v>5.9687499999999998E-2</v>
      </c>
      <c r="D253">
        <v>1.6975742008387</v>
      </c>
      <c r="E253">
        <v>0.13339843108959001</v>
      </c>
      <c r="F253">
        <v>8</v>
      </c>
      <c r="G253" t="str">
        <f>VLOOKUP(A253,[1]inrix_key!$A:$C,3,FALSE)</f>
        <v>Ustick_W</v>
      </c>
      <c r="H253">
        <f t="shared" si="3"/>
        <v>3.5812499999999998</v>
      </c>
    </row>
    <row r="254" spans="1:8" x14ac:dyDescent="0.25">
      <c r="A254">
        <v>1187548975</v>
      </c>
      <c r="B254" t="s">
        <v>22</v>
      </c>
      <c r="C254">
        <v>0.06</v>
      </c>
      <c r="D254">
        <v>3.5076432366107202</v>
      </c>
      <c r="E254">
        <v>9.8907077643672296E-3</v>
      </c>
      <c r="F254">
        <v>8</v>
      </c>
      <c r="G254" t="str">
        <f>VLOOKUP(A254,[1]inrix_key!$A:$C,3,FALSE)</f>
        <v>Pine_S</v>
      </c>
      <c r="H254">
        <f t="shared" si="3"/>
        <v>3.5999999999999996</v>
      </c>
    </row>
    <row r="255" spans="1:8" x14ac:dyDescent="0.25">
      <c r="A255">
        <v>1187612015</v>
      </c>
      <c r="B255" t="s">
        <v>22</v>
      </c>
      <c r="C255">
        <v>6.0374999999999998E-2</v>
      </c>
      <c r="D255">
        <v>3.7288523475569102</v>
      </c>
      <c r="E255">
        <v>7.3698321189563099E-3</v>
      </c>
      <c r="F255">
        <v>8</v>
      </c>
      <c r="G255" t="str">
        <f>VLOOKUP(A255,[1]inrix_key!$A:$C,3,FALSE)</f>
        <v>Chinden_W</v>
      </c>
      <c r="H255">
        <f t="shared" si="3"/>
        <v>3.6225000000000001</v>
      </c>
    </row>
    <row r="256" spans="1:8" x14ac:dyDescent="0.25">
      <c r="A256">
        <v>1187466896</v>
      </c>
      <c r="B256" t="s">
        <v>17</v>
      </c>
      <c r="C256">
        <v>6.04885057471264E-2</v>
      </c>
      <c r="D256">
        <v>6.8947419641185999</v>
      </c>
      <c r="E256" s="1">
        <v>1.7092952486763401E-7</v>
      </c>
      <c r="F256">
        <v>29</v>
      </c>
      <c r="G256" t="str">
        <f>VLOOKUP(A256,[1]inrix_key!$A:$C,3,FALSE)</f>
        <v>IslandWood_S</v>
      </c>
      <c r="H256">
        <f t="shared" si="3"/>
        <v>3.6293103448275841</v>
      </c>
    </row>
    <row r="257" spans="1:8" x14ac:dyDescent="0.25">
      <c r="A257">
        <v>384139881</v>
      </c>
      <c r="B257" t="s">
        <v>20</v>
      </c>
      <c r="C257">
        <v>6.1099999999999897E-2</v>
      </c>
      <c r="D257">
        <v>3.8289474969552599</v>
      </c>
      <c r="E257">
        <v>6.3526666035387195E-4</v>
      </c>
      <c r="F257">
        <v>30</v>
      </c>
      <c r="G257" t="str">
        <f>VLOOKUP(A257,[1]inrix_key!$A:$C,3,FALSE)</f>
        <v>Pine_W</v>
      </c>
      <c r="H257">
        <f t="shared" si="3"/>
        <v>3.6659999999999937</v>
      </c>
    </row>
    <row r="258" spans="1:8" x14ac:dyDescent="0.25">
      <c r="A258">
        <v>1187333605</v>
      </c>
      <c r="B258" t="s">
        <v>19</v>
      </c>
      <c r="C258">
        <v>6.1249999999999999E-2</v>
      </c>
      <c r="D258">
        <v>5.9111579188673202</v>
      </c>
      <c r="E258">
        <v>5.9277153901493205E-4</v>
      </c>
      <c r="F258">
        <v>8</v>
      </c>
      <c r="G258" t="str">
        <f>VLOOKUP(A258,[1]inrix_key!$A:$C,3,FALSE)</f>
        <v>Colchester_N</v>
      </c>
      <c r="H258">
        <f t="shared" ref="H258:H286" si="4">60*C258</f>
        <v>3.6749999999999998</v>
      </c>
    </row>
    <row r="259" spans="1:8" x14ac:dyDescent="0.25">
      <c r="A259">
        <v>1187654609</v>
      </c>
      <c r="B259" t="s">
        <v>19</v>
      </c>
      <c r="C259">
        <v>6.2187499999999903E-2</v>
      </c>
      <c r="D259">
        <v>5.85475026413362</v>
      </c>
      <c r="E259">
        <v>6.2756815119768404E-4</v>
      </c>
      <c r="F259">
        <v>8</v>
      </c>
      <c r="G259" t="str">
        <f>VLOOKUP(A259,[1]inrix_key!$A:$C,3,FALSE)</f>
        <v>Pine_N</v>
      </c>
      <c r="H259">
        <f t="shared" si="4"/>
        <v>3.731249999999994</v>
      </c>
    </row>
    <row r="260" spans="1:8" x14ac:dyDescent="0.25">
      <c r="A260">
        <v>117503882</v>
      </c>
      <c r="B260" t="s">
        <v>18</v>
      </c>
      <c r="C260">
        <v>6.25E-2</v>
      </c>
      <c r="D260">
        <v>1.92307692307692</v>
      </c>
      <c r="E260">
        <v>0.30527146251419002</v>
      </c>
      <c r="F260">
        <v>2</v>
      </c>
      <c r="G260" t="str">
        <f>VLOOKUP(A260,[1]inrix_key!$A:$C,3,FALSE)</f>
        <v>Franklin_E</v>
      </c>
      <c r="H260">
        <f t="shared" si="4"/>
        <v>3.75</v>
      </c>
    </row>
    <row r="261" spans="1:8" x14ac:dyDescent="0.25">
      <c r="A261">
        <v>448697009</v>
      </c>
      <c r="B261" t="s">
        <v>17</v>
      </c>
      <c r="C261">
        <v>6.5287356321839102E-2</v>
      </c>
      <c r="D261">
        <v>5.3719122268143904</v>
      </c>
      <c r="E261" s="1">
        <v>1.0041997555856E-5</v>
      </c>
      <c r="F261">
        <v>29</v>
      </c>
      <c r="G261" t="str">
        <f>VLOOKUP(A261,[1]inrix_key!$A:$C,3,FALSE)</f>
        <v>Ustick_S</v>
      </c>
      <c r="H261">
        <f t="shared" si="4"/>
        <v>3.917241379310346</v>
      </c>
    </row>
    <row r="262" spans="1:8" x14ac:dyDescent="0.25">
      <c r="A262">
        <v>448697006</v>
      </c>
      <c r="B262" t="s">
        <v>18</v>
      </c>
      <c r="C262">
        <v>6.6666666666666596E-2</v>
      </c>
      <c r="D262">
        <v>1.6666666666666601</v>
      </c>
      <c r="E262">
        <v>0.34404173924526099</v>
      </c>
      <c r="F262">
        <v>2</v>
      </c>
      <c r="G262" t="str">
        <f>VLOOKUP(A262,[1]inrix_key!$A:$C,3,FALSE)</f>
        <v>StLukes_N</v>
      </c>
      <c r="H262">
        <f t="shared" si="4"/>
        <v>3.9999999999999956</v>
      </c>
    </row>
    <row r="263" spans="1:8" x14ac:dyDescent="0.25">
      <c r="A263">
        <v>448725596</v>
      </c>
      <c r="B263" t="s">
        <v>19</v>
      </c>
      <c r="C263">
        <v>6.7499999999999893E-2</v>
      </c>
      <c r="D263">
        <v>5.0324012195709802</v>
      </c>
      <c r="E263">
        <v>1.5092918621043201E-3</v>
      </c>
      <c r="F263">
        <v>8</v>
      </c>
      <c r="G263" t="str">
        <f>VLOOKUP(A263,[1]inrix_key!$A:$C,3,FALSE)</f>
        <v>Franklin_S</v>
      </c>
      <c r="H263">
        <f t="shared" si="4"/>
        <v>4.0499999999999936</v>
      </c>
    </row>
    <row r="264" spans="1:8" x14ac:dyDescent="0.25">
      <c r="A264">
        <v>1187549053</v>
      </c>
      <c r="B264" t="s">
        <v>19</v>
      </c>
      <c r="C264">
        <v>6.7500000000000004E-2</v>
      </c>
      <c r="D264">
        <v>4.25957744383172</v>
      </c>
      <c r="E264">
        <v>3.7485442613026799E-3</v>
      </c>
      <c r="F264">
        <v>8</v>
      </c>
      <c r="G264" t="str">
        <f>VLOOKUP(A264,[1]inrix_key!$A:$C,3,FALSE)</f>
        <v>HobbleCreek_S</v>
      </c>
      <c r="H264">
        <f t="shared" si="4"/>
        <v>4.0500000000000007</v>
      </c>
    </row>
    <row r="265" spans="1:8" x14ac:dyDescent="0.25">
      <c r="A265">
        <v>1187333665</v>
      </c>
      <c r="B265" t="s">
        <v>17</v>
      </c>
      <c r="C265">
        <v>6.9452380952380904E-2</v>
      </c>
      <c r="D265">
        <v>4.6414650609833297</v>
      </c>
      <c r="E265" s="1">
        <v>4.98540305339737E-5</v>
      </c>
      <c r="F265">
        <v>35</v>
      </c>
      <c r="G265" t="str">
        <f>VLOOKUP(A265,[1]inrix_key!$A:$C,3,FALSE)</f>
        <v>Chinden_N</v>
      </c>
      <c r="H265">
        <f t="shared" si="4"/>
        <v>4.1671428571428546</v>
      </c>
    </row>
    <row r="266" spans="1:8" x14ac:dyDescent="0.25">
      <c r="A266">
        <v>117503882</v>
      </c>
      <c r="B266" t="s">
        <v>21</v>
      </c>
      <c r="C266">
        <v>7.1249999999999897E-2</v>
      </c>
      <c r="D266">
        <v>2.51661147842358</v>
      </c>
      <c r="E266">
        <v>8.6433653827905493E-2</v>
      </c>
      <c r="F266">
        <v>4</v>
      </c>
      <c r="G266" t="str">
        <f>VLOOKUP(A266,[1]inrix_key!$A:$C,3,FALSE)</f>
        <v>Franklin_E</v>
      </c>
      <c r="H266">
        <f t="shared" si="4"/>
        <v>4.2749999999999941</v>
      </c>
    </row>
    <row r="267" spans="1:8" x14ac:dyDescent="0.25">
      <c r="A267">
        <v>1187466896</v>
      </c>
      <c r="B267" t="s">
        <v>21</v>
      </c>
      <c r="C267">
        <v>7.1666666666666698E-2</v>
      </c>
      <c r="D267">
        <v>5.5055858371145101</v>
      </c>
      <c r="E267">
        <v>3.14430909607369E-2</v>
      </c>
      <c r="F267">
        <v>3</v>
      </c>
      <c r="G267" t="str">
        <f>VLOOKUP(A267,[1]inrix_key!$A:$C,3,FALSE)</f>
        <v>IslandWood_S</v>
      </c>
      <c r="H267">
        <f t="shared" si="4"/>
        <v>4.3000000000000016</v>
      </c>
    </row>
    <row r="268" spans="1:8" x14ac:dyDescent="0.25">
      <c r="A268">
        <v>119501618</v>
      </c>
      <c r="B268" t="s">
        <v>17</v>
      </c>
      <c r="C268">
        <v>7.2786458333333304E-2</v>
      </c>
      <c r="D268">
        <v>6.3494089661368101</v>
      </c>
      <c r="E268" s="1">
        <v>4.5582497186102E-7</v>
      </c>
      <c r="F268">
        <v>32</v>
      </c>
      <c r="G268" t="str">
        <f>VLOOKUP(A268,[1]inrix_key!$A:$C,3,FALSE)</f>
        <v>McMillan_N</v>
      </c>
      <c r="H268">
        <f t="shared" si="4"/>
        <v>4.3671874999999982</v>
      </c>
    </row>
    <row r="269" spans="1:8" x14ac:dyDescent="0.25">
      <c r="A269">
        <v>384139881</v>
      </c>
      <c r="B269" t="s">
        <v>19</v>
      </c>
      <c r="C269">
        <v>7.6041666666666605E-2</v>
      </c>
      <c r="D269">
        <v>3.3991906255347999</v>
      </c>
      <c r="E269">
        <v>1.14551035807531E-2</v>
      </c>
      <c r="F269">
        <v>8</v>
      </c>
      <c r="G269" t="str">
        <f>VLOOKUP(A269,[1]inrix_key!$A:$C,3,FALSE)</f>
        <v>Pine_W</v>
      </c>
      <c r="H269">
        <f t="shared" si="4"/>
        <v>4.5624999999999964</v>
      </c>
    </row>
    <row r="270" spans="1:8" x14ac:dyDescent="0.25">
      <c r="A270">
        <v>448697009</v>
      </c>
      <c r="B270" t="s">
        <v>18</v>
      </c>
      <c r="C270">
        <v>7.6111111111111102E-2</v>
      </c>
      <c r="D270">
        <v>3.3716852847797401</v>
      </c>
      <c r="E270">
        <v>7.7833031932312099E-2</v>
      </c>
      <c r="F270">
        <v>3</v>
      </c>
      <c r="G270" t="str">
        <f>VLOOKUP(A270,[1]inrix_key!$A:$C,3,FALSE)</f>
        <v>Ustick_S</v>
      </c>
      <c r="H270">
        <f t="shared" si="4"/>
        <v>4.5666666666666664</v>
      </c>
    </row>
    <row r="271" spans="1:8" x14ac:dyDescent="0.25">
      <c r="A271">
        <v>448697008</v>
      </c>
      <c r="B271" t="s">
        <v>18</v>
      </c>
      <c r="C271">
        <v>7.7222222222222095E-2</v>
      </c>
      <c r="D271">
        <v>7.4404994132533897</v>
      </c>
      <c r="E271">
        <v>1.75881090231838E-2</v>
      </c>
      <c r="F271">
        <v>3</v>
      </c>
      <c r="G271" t="str">
        <f>VLOOKUP(A271,[1]inrix_key!$A:$C,3,FALSE)</f>
        <v>RiverValley_S</v>
      </c>
      <c r="H271">
        <f t="shared" si="4"/>
        <v>4.6333333333333258</v>
      </c>
    </row>
    <row r="272" spans="1:8" x14ac:dyDescent="0.25">
      <c r="A272">
        <v>1187654588</v>
      </c>
      <c r="B272" t="s">
        <v>18</v>
      </c>
      <c r="C272">
        <v>7.7916666666666606E-2</v>
      </c>
      <c r="D272">
        <v>14.384615384615399</v>
      </c>
      <c r="E272">
        <v>4.4185899723083698E-2</v>
      </c>
      <c r="F272">
        <v>2</v>
      </c>
      <c r="G272" t="str">
        <f>VLOOKUP(A272,[1]inrix_key!$A:$C,3,FALSE)</f>
        <v>Franklin_N</v>
      </c>
      <c r="H272">
        <f t="shared" si="4"/>
        <v>4.6749999999999963</v>
      </c>
    </row>
    <row r="273" spans="1:8" x14ac:dyDescent="0.25">
      <c r="A273">
        <v>1187548947</v>
      </c>
      <c r="B273" t="s">
        <v>18</v>
      </c>
      <c r="C273">
        <v>7.88888888888888E-2</v>
      </c>
      <c r="D273">
        <v>4.3129428485385999</v>
      </c>
      <c r="E273">
        <v>4.9779195508645499E-2</v>
      </c>
      <c r="F273">
        <v>3</v>
      </c>
      <c r="G273" t="str">
        <f>VLOOKUP(A273,[1]inrix_key!$A:$C,3,FALSE)</f>
        <v>Fairview_S</v>
      </c>
      <c r="H273">
        <f t="shared" si="4"/>
        <v>4.7333333333333281</v>
      </c>
    </row>
    <row r="274" spans="1:8" x14ac:dyDescent="0.25">
      <c r="A274">
        <v>1187548947</v>
      </c>
      <c r="B274" t="s">
        <v>19</v>
      </c>
      <c r="C274">
        <v>8.2500000000000004E-2</v>
      </c>
      <c r="D274">
        <v>4.6128556064305899</v>
      </c>
      <c r="E274">
        <v>2.44670160501494E-3</v>
      </c>
      <c r="F274">
        <v>8</v>
      </c>
      <c r="G274" t="str">
        <f>VLOOKUP(A274,[1]inrix_key!$A:$C,3,FALSE)</f>
        <v>Fairview_S</v>
      </c>
      <c r="H274">
        <f t="shared" si="4"/>
        <v>4.95</v>
      </c>
    </row>
    <row r="275" spans="1:8" x14ac:dyDescent="0.25">
      <c r="A275">
        <v>119501618</v>
      </c>
      <c r="B275" t="s">
        <v>19</v>
      </c>
      <c r="C275">
        <v>8.4999999999999895E-2</v>
      </c>
      <c r="D275">
        <v>3.33282997800965</v>
      </c>
      <c r="E275">
        <v>1.254230942043E-2</v>
      </c>
      <c r="F275">
        <v>8</v>
      </c>
      <c r="G275" t="str">
        <f>VLOOKUP(A275,[1]inrix_key!$A:$C,3,FALSE)</f>
        <v>McMillan_N</v>
      </c>
      <c r="H275">
        <f t="shared" si="4"/>
        <v>5.0999999999999934</v>
      </c>
    </row>
    <row r="276" spans="1:8" x14ac:dyDescent="0.25">
      <c r="A276">
        <v>1187548975</v>
      </c>
      <c r="B276" t="s">
        <v>19</v>
      </c>
      <c r="C276">
        <v>8.99999999999999E-2</v>
      </c>
      <c r="D276">
        <v>12.7851264936823</v>
      </c>
      <c r="E276" s="1">
        <v>4.1510628039929198E-6</v>
      </c>
      <c r="F276">
        <v>8</v>
      </c>
      <c r="G276" t="str">
        <f>VLOOKUP(A276,[1]inrix_key!$A:$C,3,FALSE)</f>
        <v>Pine_S</v>
      </c>
      <c r="H276">
        <f t="shared" si="4"/>
        <v>5.3999999999999941</v>
      </c>
    </row>
    <row r="277" spans="1:8" x14ac:dyDescent="0.25">
      <c r="A277">
        <v>1187333665</v>
      </c>
      <c r="B277" t="s">
        <v>19</v>
      </c>
      <c r="C277">
        <v>9.1249999999999901E-2</v>
      </c>
      <c r="D277">
        <v>7.6524793080699798</v>
      </c>
      <c r="E277">
        <v>1.20899058165449E-4</v>
      </c>
      <c r="F277">
        <v>8</v>
      </c>
      <c r="G277" t="str">
        <f>VLOOKUP(A277,[1]inrix_key!$A:$C,3,FALSE)</f>
        <v>Chinden_N</v>
      </c>
      <c r="H277">
        <f t="shared" si="4"/>
        <v>5.4749999999999943</v>
      </c>
    </row>
    <row r="278" spans="1:8" x14ac:dyDescent="0.25">
      <c r="A278">
        <v>1187327938</v>
      </c>
      <c r="B278" t="s">
        <v>17</v>
      </c>
      <c r="C278">
        <v>9.4540229885057406E-2</v>
      </c>
      <c r="D278">
        <v>4.7744016404952898</v>
      </c>
      <c r="E278" s="1">
        <v>5.1388526433704798E-5</v>
      </c>
      <c r="F278">
        <v>29</v>
      </c>
      <c r="G278" t="str">
        <f>VLOOKUP(A278,[1]inrix_key!$A:$C,3,FALSE)</f>
        <v>Franklin_W</v>
      </c>
      <c r="H278">
        <f t="shared" si="4"/>
        <v>5.672413793103444</v>
      </c>
    </row>
    <row r="279" spans="1:8" x14ac:dyDescent="0.25">
      <c r="A279">
        <v>1187333605</v>
      </c>
      <c r="B279" t="s">
        <v>18</v>
      </c>
      <c r="C279">
        <v>9.5833333333333298E-2</v>
      </c>
      <c r="D279">
        <v>2.89405496633962</v>
      </c>
      <c r="E279">
        <v>6.28052740448551E-2</v>
      </c>
      <c r="F279">
        <v>4</v>
      </c>
      <c r="G279" t="str">
        <f>VLOOKUP(A279,[1]inrix_key!$A:$C,3,FALSE)</f>
        <v>Colchester_N</v>
      </c>
      <c r="H279">
        <f t="shared" si="4"/>
        <v>5.7499999999999982</v>
      </c>
    </row>
    <row r="280" spans="1:8" x14ac:dyDescent="0.25">
      <c r="A280">
        <v>1187466917</v>
      </c>
      <c r="B280" t="s">
        <v>19</v>
      </c>
      <c r="C280">
        <v>0.106875</v>
      </c>
      <c r="D280">
        <v>5.4374836564030398</v>
      </c>
      <c r="E280">
        <v>9.6884421782937298E-4</v>
      </c>
      <c r="F280">
        <v>8</v>
      </c>
      <c r="G280" t="str">
        <f>VLOOKUP(A280,[1]inrix_key!$A:$C,3,FALSE)</f>
        <v>Colchester_S</v>
      </c>
      <c r="H280">
        <f t="shared" si="4"/>
        <v>6.4124999999999996</v>
      </c>
    </row>
    <row r="281" spans="1:8" x14ac:dyDescent="0.25">
      <c r="A281">
        <v>1187466896</v>
      </c>
      <c r="B281" t="s">
        <v>19</v>
      </c>
      <c r="C281">
        <v>0.110625</v>
      </c>
      <c r="D281">
        <v>8.7643402629738105</v>
      </c>
      <c r="E281" s="1">
        <v>5.0675537565827401E-5</v>
      </c>
      <c r="F281">
        <v>8</v>
      </c>
      <c r="G281" t="str">
        <f>VLOOKUP(A281,[1]inrix_key!$A:$C,3,FALSE)</f>
        <v>IslandWood_S</v>
      </c>
      <c r="H281">
        <f t="shared" si="4"/>
        <v>6.6375000000000002</v>
      </c>
    </row>
    <row r="282" spans="1:8" x14ac:dyDescent="0.25">
      <c r="A282">
        <v>1187586311</v>
      </c>
      <c r="B282" t="s">
        <v>21</v>
      </c>
      <c r="C282">
        <v>0.1125</v>
      </c>
      <c r="D282">
        <v>1.23407377401808</v>
      </c>
      <c r="E282">
        <v>0.30503556938503001</v>
      </c>
      <c r="F282">
        <v>4</v>
      </c>
      <c r="G282" t="str">
        <f>VLOOKUP(A282,[1]inrix_key!$A:$C,3,FALSE)</f>
        <v>EB_W</v>
      </c>
      <c r="H282">
        <f t="shared" si="4"/>
        <v>6.75</v>
      </c>
    </row>
    <row r="283" spans="1:8" x14ac:dyDescent="0.25">
      <c r="A283">
        <v>448695752</v>
      </c>
      <c r="B283" t="s">
        <v>22</v>
      </c>
      <c r="C283">
        <v>0.12862499999999999</v>
      </c>
      <c r="D283">
        <v>1.6054605142286</v>
      </c>
      <c r="E283">
        <v>0.152427538040493</v>
      </c>
      <c r="F283">
        <v>8</v>
      </c>
      <c r="G283" t="str">
        <f>VLOOKUP(A283,[1]inrix_key!$A:$C,3,FALSE)</f>
        <v>IslandWood_N</v>
      </c>
      <c r="H283">
        <f t="shared" si="4"/>
        <v>7.7174999999999994</v>
      </c>
    </row>
    <row r="284" spans="1:8" x14ac:dyDescent="0.25">
      <c r="A284">
        <v>1187654588</v>
      </c>
      <c r="B284" t="s">
        <v>21</v>
      </c>
      <c r="C284">
        <v>0.18208333333333299</v>
      </c>
      <c r="D284">
        <v>4.6902561205837303</v>
      </c>
      <c r="E284">
        <v>1.83236513885962E-2</v>
      </c>
      <c r="F284">
        <v>4</v>
      </c>
      <c r="G284" t="str">
        <f>VLOOKUP(A284,[1]inrix_key!$A:$C,3,FALSE)</f>
        <v>Franklin_N</v>
      </c>
      <c r="H284">
        <f t="shared" si="4"/>
        <v>10.924999999999979</v>
      </c>
    </row>
    <row r="285" spans="1:8" x14ac:dyDescent="0.25">
      <c r="A285">
        <v>384139881</v>
      </c>
      <c r="B285" t="s">
        <v>21</v>
      </c>
      <c r="C285">
        <v>0.22</v>
      </c>
      <c r="F285">
        <v>1</v>
      </c>
      <c r="G285" t="str">
        <f>VLOOKUP(A285,[1]inrix_key!$A:$C,3,FALSE)</f>
        <v>Pine_W</v>
      </c>
      <c r="H285">
        <f t="shared" si="4"/>
        <v>13.2</v>
      </c>
    </row>
    <row r="286" spans="1:8" x14ac:dyDescent="0.25">
      <c r="A286">
        <v>1187333605</v>
      </c>
      <c r="B286" t="s">
        <v>22</v>
      </c>
      <c r="C286">
        <v>0.34337499999999999</v>
      </c>
      <c r="D286">
        <v>1.49703283015779</v>
      </c>
      <c r="E286">
        <v>0.178049218364704</v>
      </c>
      <c r="F286">
        <v>8</v>
      </c>
      <c r="G286" t="str">
        <f>VLOOKUP(A286,[1]inrix_key!$A:$C,3,FALSE)</f>
        <v>Colchester_N</v>
      </c>
      <c r="H286">
        <f t="shared" si="4"/>
        <v>20.602499999999999</v>
      </c>
    </row>
    <row r="301" spans="5:5" x14ac:dyDescent="0.25">
      <c r="E301" s="1"/>
    </row>
    <row r="310" spans="5:5" x14ac:dyDescent="0.25">
      <c r="E310" s="1"/>
    </row>
    <row r="318" spans="5:5" x14ac:dyDescent="0.25">
      <c r="E318" s="1"/>
    </row>
    <row r="323" spans="5:5" x14ac:dyDescent="0.25">
      <c r="E323" s="1"/>
    </row>
    <row r="324" spans="5:5" x14ac:dyDescent="0.25">
      <c r="E324" s="1"/>
    </row>
    <row r="328" spans="5:5" x14ac:dyDescent="0.25">
      <c r="E328" s="1"/>
    </row>
    <row r="330" spans="5:5" x14ac:dyDescent="0.25">
      <c r="E330" s="1"/>
    </row>
    <row r="332" spans="5:5" x14ac:dyDescent="0.25">
      <c r="E332" s="1"/>
    </row>
  </sheetData>
  <autoFilter ref="A1:H286" xr:uid="{88D9FD19-86C6-4116-A967-06EEF1957020}">
    <sortState xmlns:xlrd2="http://schemas.microsoft.com/office/spreadsheetml/2017/richdata2" ref="A39:H278">
      <sortCondition ref="H1:H28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4E14-695E-4FC3-85C8-6BCDECD1CFCB}">
  <dimension ref="A1:K400"/>
  <sheetViews>
    <sheetView workbookViewId="0">
      <selection activeCell="Q10" sqref="Q10"/>
    </sheetView>
  </sheetViews>
  <sheetFormatPr defaultRowHeight="15" x14ac:dyDescent="0.25"/>
  <cols>
    <col min="7" max="7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12</v>
      </c>
    </row>
    <row r="2" spans="1:11" x14ac:dyDescent="0.25">
      <c r="A2">
        <v>117503882</v>
      </c>
      <c r="B2" t="s">
        <v>22</v>
      </c>
      <c r="C2">
        <v>-4.1607142857142902E-3</v>
      </c>
      <c r="D2">
        <v>-0.34740766686814301</v>
      </c>
      <c r="E2">
        <v>0.73849632438963198</v>
      </c>
      <c r="F2">
        <v>8</v>
      </c>
      <c r="G2" t="str">
        <f>VLOOKUP(A2,[1]inrix_key!$A:$C,3,FALSE)</f>
        <v>Franklin_E</v>
      </c>
      <c r="H2">
        <f t="shared" ref="H2:H65" si="0">60*C2</f>
        <v>-0.24964285714285742</v>
      </c>
    </row>
    <row r="3" spans="1:11" x14ac:dyDescent="0.25">
      <c r="A3">
        <v>117772024</v>
      </c>
      <c r="B3" t="s">
        <v>22</v>
      </c>
      <c r="C3">
        <v>1.609375E-2</v>
      </c>
      <c r="D3">
        <v>2.6305808119112202</v>
      </c>
      <c r="E3">
        <v>3.3884000919290697E-2</v>
      </c>
      <c r="F3">
        <v>8</v>
      </c>
      <c r="G3" t="str">
        <f>VLOOKUP(A3,[1]inrix_key!$A:$C,3,FALSE)</f>
        <v>IslandWood_W</v>
      </c>
      <c r="H3">
        <f t="shared" si="0"/>
        <v>0.96562500000000007</v>
      </c>
      <c r="J3" t="s">
        <v>13</v>
      </c>
      <c r="K3">
        <f>AVERAGEIF(G:G,"*_N*",H:H)</f>
        <v>-0.29461300776698496</v>
      </c>
    </row>
    <row r="4" spans="1:11" x14ac:dyDescent="0.25">
      <c r="A4">
        <v>119241469</v>
      </c>
      <c r="B4" t="s">
        <v>22</v>
      </c>
      <c r="C4">
        <v>-4.9027777777777698E-2</v>
      </c>
      <c r="D4">
        <v>-4.4491513849256297</v>
      </c>
      <c r="E4">
        <v>2.9746828431918598E-3</v>
      </c>
      <c r="F4">
        <v>8</v>
      </c>
      <c r="G4" t="str">
        <f>VLOOKUP(A4,[1]inrix_key!$A:$C,3,FALSE)</f>
        <v>Colchester_W</v>
      </c>
      <c r="H4">
        <f t="shared" si="0"/>
        <v>-2.941666666666662</v>
      </c>
      <c r="J4" t="s">
        <v>14</v>
      </c>
      <c r="K4">
        <f>AVERAGEIF(G:G,"*_S*",H:H)</f>
        <v>-0.75527988468042162</v>
      </c>
    </row>
    <row r="5" spans="1:11" x14ac:dyDescent="0.25">
      <c r="A5">
        <v>119269713</v>
      </c>
      <c r="B5" t="s">
        <v>22</v>
      </c>
      <c r="C5">
        <v>4.1433531746031697E-2</v>
      </c>
      <c r="D5">
        <v>3.4574660894767302</v>
      </c>
      <c r="E5">
        <v>1.0583791535883199E-2</v>
      </c>
      <c r="F5">
        <v>8</v>
      </c>
      <c r="G5" t="str">
        <f>VLOOKUP(A5,[1]inrix_key!$A:$C,3,FALSE)</f>
        <v>Colchester_E</v>
      </c>
      <c r="H5">
        <f t="shared" si="0"/>
        <v>2.4860119047619018</v>
      </c>
      <c r="J5" t="s">
        <v>15</v>
      </c>
      <c r="K5">
        <f>AVERAGEIF(G:G,"*_W*",H:H)</f>
        <v>-6.112118720590682E-2</v>
      </c>
    </row>
    <row r="6" spans="1:11" x14ac:dyDescent="0.25">
      <c r="A6">
        <v>119501618</v>
      </c>
      <c r="B6" t="s">
        <v>22</v>
      </c>
      <c r="C6">
        <v>7.7604166666667401E-3</v>
      </c>
      <c r="D6">
        <v>0.299267023555298</v>
      </c>
      <c r="E6">
        <v>0.773426380481955</v>
      </c>
      <c r="F6">
        <v>8</v>
      </c>
      <c r="G6" t="str">
        <f>VLOOKUP(A6,[1]inrix_key!$A:$C,3,FALSE)</f>
        <v>McMillan_N</v>
      </c>
      <c r="H6">
        <f t="shared" si="0"/>
        <v>0.4656250000000044</v>
      </c>
      <c r="J6" t="s">
        <v>16</v>
      </c>
      <c r="K6">
        <f>AVERAGEIF(G:G,"*_E*",H:H)</f>
        <v>-0.71741589448049481</v>
      </c>
    </row>
    <row r="7" spans="1:11" x14ac:dyDescent="0.25">
      <c r="A7">
        <v>384121516</v>
      </c>
      <c r="B7" t="s">
        <v>22</v>
      </c>
      <c r="C7">
        <v>-3.4779265873015802E-2</v>
      </c>
      <c r="D7">
        <v>-2.6080246743667099</v>
      </c>
      <c r="E7">
        <v>3.5013829184411503E-2</v>
      </c>
      <c r="F7">
        <v>8</v>
      </c>
      <c r="G7" t="str">
        <f>VLOOKUP(A7,[1]inrix_key!$A:$C,3,FALSE)</f>
        <v>McMillan_W</v>
      </c>
      <c r="H7">
        <f t="shared" si="0"/>
        <v>-2.086755952380948</v>
      </c>
    </row>
    <row r="8" spans="1:11" x14ac:dyDescent="0.25">
      <c r="A8">
        <v>384139881</v>
      </c>
      <c r="B8" t="s">
        <v>22</v>
      </c>
      <c r="C8">
        <v>2.9648809523809501E-2</v>
      </c>
      <c r="D8">
        <v>1.9888314798425499</v>
      </c>
      <c r="E8">
        <v>8.7041096392408507E-2</v>
      </c>
      <c r="F8">
        <v>8</v>
      </c>
      <c r="G8" t="str">
        <f>VLOOKUP(A8,[1]inrix_key!$A:$C,3,FALSE)</f>
        <v>Pine_W</v>
      </c>
      <c r="H8">
        <f t="shared" si="0"/>
        <v>1.7789285714285701</v>
      </c>
    </row>
    <row r="9" spans="1:11" x14ac:dyDescent="0.25">
      <c r="A9">
        <v>428958433</v>
      </c>
      <c r="B9" t="s">
        <v>22</v>
      </c>
      <c r="C9">
        <v>1.00446428571428E-3</v>
      </c>
      <c r="D9">
        <v>0.30926903344679402</v>
      </c>
      <c r="E9">
        <v>0.766119331641401</v>
      </c>
      <c r="F9">
        <v>8</v>
      </c>
      <c r="G9" t="str">
        <f>VLOOKUP(A9,[1]inrix_key!$A:$C,3,FALSE)</f>
        <v>EB_S</v>
      </c>
      <c r="H9">
        <f t="shared" si="0"/>
        <v>6.0267857142856797E-2</v>
      </c>
    </row>
    <row r="10" spans="1:11" x14ac:dyDescent="0.25">
      <c r="A10">
        <v>428958434</v>
      </c>
      <c r="B10" t="s">
        <v>22</v>
      </c>
      <c r="C10">
        <v>-5.2274305555555498E-2</v>
      </c>
      <c r="D10">
        <v>-7.9772815876037502</v>
      </c>
      <c r="E10" s="1">
        <v>9.2819054856483498E-5</v>
      </c>
      <c r="F10">
        <v>8</v>
      </c>
      <c r="G10">
        <f>VLOOKUP(A10,[1]inrix_key!$A:$C,3,FALSE)</f>
        <v>0</v>
      </c>
      <c r="H10">
        <f t="shared" si="0"/>
        <v>-3.13645833333333</v>
      </c>
    </row>
    <row r="11" spans="1:11" x14ac:dyDescent="0.25">
      <c r="A11">
        <v>428958435</v>
      </c>
      <c r="B11" t="s">
        <v>22</v>
      </c>
      <c r="C11">
        <v>-2.3020833333333299E-2</v>
      </c>
      <c r="D11">
        <v>-1.4473937288838601</v>
      </c>
      <c r="E11">
        <v>0.19104382800539499</v>
      </c>
      <c r="F11">
        <v>8</v>
      </c>
      <c r="G11">
        <f>VLOOKUP(A11,[1]inrix_key!$A:$C,3,FALSE)</f>
        <v>0</v>
      </c>
      <c r="H11">
        <f t="shared" si="0"/>
        <v>-1.3812499999999979</v>
      </c>
    </row>
    <row r="12" spans="1:11" x14ac:dyDescent="0.25">
      <c r="A12">
        <v>448694747</v>
      </c>
      <c r="B12" t="s">
        <v>22</v>
      </c>
      <c r="C12">
        <v>-5.02852182539682E-2</v>
      </c>
      <c r="D12">
        <v>-4.9486464516631701</v>
      </c>
      <c r="E12">
        <v>1.65879370046758E-3</v>
      </c>
      <c r="F12">
        <v>8</v>
      </c>
      <c r="G12" t="str">
        <f>VLOOKUP(A12,[1]inrix_key!$A:$C,3,FALSE)</f>
        <v>Fairview_W</v>
      </c>
      <c r="H12">
        <f t="shared" si="0"/>
        <v>-3.0171130952380922</v>
      </c>
    </row>
    <row r="13" spans="1:11" x14ac:dyDescent="0.25">
      <c r="A13">
        <v>448694757</v>
      </c>
      <c r="B13" t="s">
        <v>22</v>
      </c>
      <c r="C13">
        <v>-0.156614583333333</v>
      </c>
      <c r="D13">
        <v>-9.1961227368547007</v>
      </c>
      <c r="E13" s="1">
        <v>3.7068515569111497E-5</v>
      </c>
      <c r="F13">
        <v>8</v>
      </c>
      <c r="G13" t="str">
        <f>VLOOKUP(A13,[1]inrix_key!$A:$C,3,FALSE)</f>
        <v>Ustick_W</v>
      </c>
      <c r="H13">
        <f t="shared" si="0"/>
        <v>-9.3968749999999801</v>
      </c>
    </row>
    <row r="14" spans="1:11" x14ac:dyDescent="0.25">
      <c r="A14">
        <v>448695751</v>
      </c>
      <c r="B14" t="s">
        <v>22</v>
      </c>
      <c r="C14">
        <v>2.5659722222222198E-2</v>
      </c>
      <c r="D14">
        <v>1.5244114113931599</v>
      </c>
      <c r="E14">
        <v>0.17123082071526</v>
      </c>
      <c r="F14">
        <v>8</v>
      </c>
      <c r="G14" t="str">
        <f>VLOOKUP(A14,[1]inrix_key!$A:$C,3,FALSE)</f>
        <v>Riverside_N</v>
      </c>
      <c r="H14">
        <f t="shared" si="0"/>
        <v>1.539583333333332</v>
      </c>
    </row>
    <row r="15" spans="1:11" x14ac:dyDescent="0.25">
      <c r="A15">
        <v>448695752</v>
      </c>
      <c r="B15" t="s">
        <v>22</v>
      </c>
      <c r="C15">
        <v>5.5468749999999997E-2</v>
      </c>
      <c r="D15">
        <v>1.3847239979933299</v>
      </c>
      <c r="E15">
        <v>0.20866483281457099</v>
      </c>
      <c r="F15">
        <v>8</v>
      </c>
      <c r="G15" t="str">
        <f>VLOOKUP(A15,[1]inrix_key!$A:$C,3,FALSE)</f>
        <v>IslandWood_N</v>
      </c>
      <c r="H15">
        <f t="shared" si="0"/>
        <v>3.328125</v>
      </c>
    </row>
    <row r="16" spans="1:11" x14ac:dyDescent="0.25">
      <c r="A16">
        <v>448695753</v>
      </c>
      <c r="B16" t="s">
        <v>22</v>
      </c>
      <c r="C16">
        <v>-1.7968749999999999E-2</v>
      </c>
      <c r="D16">
        <v>-1.3129783678159399</v>
      </c>
      <c r="E16">
        <v>0.23059300350294401</v>
      </c>
      <c r="F16">
        <v>8</v>
      </c>
      <c r="G16" t="str">
        <f>VLOOKUP(A16,[1]inrix_key!$A:$C,3,FALSE)</f>
        <v>Riverside_S</v>
      </c>
      <c r="H16">
        <f t="shared" si="0"/>
        <v>-1.078125</v>
      </c>
    </row>
    <row r="17" spans="1:8" x14ac:dyDescent="0.25">
      <c r="A17">
        <v>448695754</v>
      </c>
      <c r="B17" t="s">
        <v>22</v>
      </c>
      <c r="C17">
        <v>-4.0989583333333302E-2</v>
      </c>
      <c r="D17">
        <v>-2.6727757359989202</v>
      </c>
      <c r="E17">
        <v>3.1871188073286399E-2</v>
      </c>
      <c r="F17">
        <v>8</v>
      </c>
      <c r="G17" t="str">
        <f>VLOOKUP(A17,[1]inrix_key!$A:$C,3,FALSE)</f>
        <v>State_S</v>
      </c>
      <c r="H17">
        <f t="shared" si="0"/>
        <v>-2.4593749999999979</v>
      </c>
    </row>
    <row r="18" spans="1:8" x14ac:dyDescent="0.25">
      <c r="A18">
        <v>448697006</v>
      </c>
      <c r="B18" t="s">
        <v>22</v>
      </c>
      <c r="C18">
        <v>-6.1284722222221897E-3</v>
      </c>
      <c r="D18">
        <v>-0.67352554382468799</v>
      </c>
      <c r="E18">
        <v>0.52222229417310695</v>
      </c>
      <c r="F18">
        <v>8</v>
      </c>
      <c r="G18" t="str">
        <f>VLOOKUP(A18,[1]inrix_key!$A:$C,3,FALSE)</f>
        <v>StLukes_N</v>
      </c>
      <c r="H18">
        <f t="shared" si="0"/>
        <v>-0.36770833333333136</v>
      </c>
    </row>
    <row r="19" spans="1:8" x14ac:dyDescent="0.25">
      <c r="A19">
        <v>448697007</v>
      </c>
      <c r="B19" t="s">
        <v>22</v>
      </c>
      <c r="C19">
        <v>5.3298611111111099E-3</v>
      </c>
      <c r="D19">
        <v>1.36169596797035</v>
      </c>
      <c r="E19">
        <v>0.21549406739989099</v>
      </c>
      <c r="F19">
        <v>8</v>
      </c>
      <c r="G19" t="str">
        <f>VLOOKUP(A19,[1]inrix_key!$A:$C,3,FALSE)</f>
        <v>WB_N</v>
      </c>
      <c r="H19">
        <f t="shared" si="0"/>
        <v>0.31979166666666659</v>
      </c>
    </row>
    <row r="20" spans="1:8" x14ac:dyDescent="0.25">
      <c r="A20">
        <v>448697008</v>
      </c>
      <c r="B20" t="s">
        <v>22</v>
      </c>
      <c r="C20">
        <v>-0.285486111111111</v>
      </c>
      <c r="D20">
        <v>-10.2810668638036</v>
      </c>
      <c r="E20" s="1">
        <v>1.78160160658711E-5</v>
      </c>
      <c r="F20">
        <v>8</v>
      </c>
      <c r="G20" t="str">
        <f>VLOOKUP(A20,[1]inrix_key!$A:$C,3,FALSE)</f>
        <v>RiverValley_S</v>
      </c>
      <c r="H20">
        <f t="shared" si="0"/>
        <v>-17.129166666666659</v>
      </c>
    </row>
    <row r="21" spans="1:8" x14ac:dyDescent="0.25">
      <c r="A21">
        <v>448697009</v>
      </c>
      <c r="B21" t="s">
        <v>22</v>
      </c>
      <c r="C21">
        <v>-0.24347222222222201</v>
      </c>
      <c r="D21">
        <v>-11.1881199931801</v>
      </c>
      <c r="E21" s="1">
        <v>1.01604584795085E-5</v>
      </c>
      <c r="F21">
        <v>8</v>
      </c>
      <c r="G21" t="str">
        <f>VLOOKUP(A21,[1]inrix_key!$A:$C,3,FALSE)</f>
        <v>Ustick_S</v>
      </c>
      <c r="H21">
        <f t="shared" si="0"/>
        <v>-14.60833333333332</v>
      </c>
    </row>
    <row r="22" spans="1:8" x14ac:dyDescent="0.25">
      <c r="A22">
        <v>448697010</v>
      </c>
      <c r="B22" t="s">
        <v>22</v>
      </c>
      <c r="C22">
        <v>-0.16116319444444399</v>
      </c>
      <c r="D22">
        <v>-11.168891588042801</v>
      </c>
      <c r="E22" s="1">
        <v>1.0277695287884801E-5</v>
      </c>
      <c r="F22">
        <v>8</v>
      </c>
      <c r="G22" t="str">
        <f>VLOOKUP(A22,[1]inrix_key!$A:$C,3,FALSE)</f>
        <v>RiverValley_N</v>
      </c>
      <c r="H22">
        <f t="shared" si="0"/>
        <v>-9.6697916666666401</v>
      </c>
    </row>
    <row r="23" spans="1:8" x14ac:dyDescent="0.25">
      <c r="A23">
        <v>448697011</v>
      </c>
      <c r="B23" t="s">
        <v>22</v>
      </c>
      <c r="C23">
        <v>-8.1857638888888806E-2</v>
      </c>
      <c r="D23">
        <v>-6.5161836053870896</v>
      </c>
      <c r="E23">
        <v>3.2909115629334101E-4</v>
      </c>
      <c r="F23">
        <v>8</v>
      </c>
      <c r="G23" t="str">
        <f>VLOOKUP(A23,[1]inrix_key!$A:$C,3,FALSE)</f>
        <v>Fairview_N</v>
      </c>
      <c r="H23">
        <f t="shared" si="0"/>
        <v>-4.9114583333333286</v>
      </c>
    </row>
    <row r="24" spans="1:8" x14ac:dyDescent="0.25">
      <c r="A24">
        <v>448725595</v>
      </c>
      <c r="B24" t="s">
        <v>22</v>
      </c>
      <c r="C24">
        <v>7.5173611111111101E-3</v>
      </c>
      <c r="D24">
        <v>0.727075364837932</v>
      </c>
      <c r="E24">
        <v>0.49077471071416701</v>
      </c>
      <c r="F24">
        <v>8</v>
      </c>
      <c r="G24" t="str">
        <f>VLOOKUP(A24,[1]inrix_key!$A:$C,3,FALSE)</f>
        <v>StLukes_S</v>
      </c>
      <c r="H24">
        <f t="shared" si="0"/>
        <v>0.45104166666666662</v>
      </c>
    </row>
    <row r="25" spans="1:8" x14ac:dyDescent="0.25">
      <c r="A25">
        <v>448725596</v>
      </c>
      <c r="B25" t="s">
        <v>22</v>
      </c>
      <c r="C25">
        <v>1.1302083333333299E-2</v>
      </c>
      <c r="D25">
        <v>1.27788527798535</v>
      </c>
      <c r="E25">
        <v>0.242032494467328</v>
      </c>
      <c r="F25">
        <v>8</v>
      </c>
      <c r="G25" t="str">
        <f>VLOOKUP(A25,[1]inrix_key!$A:$C,3,FALSE)</f>
        <v>Franklin_S</v>
      </c>
      <c r="H25">
        <f t="shared" si="0"/>
        <v>0.67812499999999798</v>
      </c>
    </row>
    <row r="26" spans="1:8" x14ac:dyDescent="0.25">
      <c r="A26">
        <v>448725597</v>
      </c>
      <c r="B26" t="s">
        <v>22</v>
      </c>
      <c r="C26">
        <v>-0.14000248015873001</v>
      </c>
      <c r="D26">
        <v>-18.619444454555001</v>
      </c>
      <c r="E26" s="1">
        <v>3.1988451267249602E-7</v>
      </c>
      <c r="F26">
        <v>8</v>
      </c>
      <c r="G26" t="str">
        <f>VLOOKUP(A26,[1]inrix_key!$A:$C,3,FALSE)</f>
        <v>Ustick_E</v>
      </c>
      <c r="H26">
        <f t="shared" si="0"/>
        <v>-8.4001488095238006</v>
      </c>
    </row>
    <row r="27" spans="1:8" x14ac:dyDescent="0.25">
      <c r="A27">
        <v>448725599</v>
      </c>
      <c r="B27" t="s">
        <v>22</v>
      </c>
      <c r="C27">
        <v>-8.8888888888888698E-3</v>
      </c>
      <c r="D27">
        <v>-0.60976582811961699</v>
      </c>
      <c r="E27">
        <v>0.56128036882699905</v>
      </c>
      <c r="F27">
        <v>8</v>
      </c>
      <c r="G27" t="str">
        <f>VLOOKUP(A27,[1]inrix_key!$A:$C,3,FALSE)</f>
        <v>Chinden_S</v>
      </c>
      <c r="H27">
        <f t="shared" si="0"/>
        <v>-0.53333333333333222</v>
      </c>
    </row>
    <row r="28" spans="1:8" x14ac:dyDescent="0.25">
      <c r="A28">
        <v>474871675</v>
      </c>
      <c r="B28" t="s">
        <v>22</v>
      </c>
      <c r="C28">
        <v>-1.16999007936507E-2</v>
      </c>
      <c r="D28">
        <v>-0.84528562934496898</v>
      </c>
      <c r="E28">
        <v>0.42589690407812097</v>
      </c>
      <c r="F28">
        <v>8</v>
      </c>
      <c r="G28" t="str">
        <f>VLOOKUP(A28,[1]inrix_key!$A:$C,3,FALSE)</f>
        <v>McMillan_E</v>
      </c>
      <c r="H28">
        <f t="shared" si="0"/>
        <v>-0.70199404761904205</v>
      </c>
    </row>
    <row r="29" spans="1:8" x14ac:dyDescent="0.25">
      <c r="A29">
        <v>484347992</v>
      </c>
      <c r="B29" t="s">
        <v>22</v>
      </c>
      <c r="C29">
        <v>-8.7152777777777695E-4</v>
      </c>
      <c r="D29">
        <v>-1.37386049894708</v>
      </c>
      <c r="E29">
        <v>0.211862310672851</v>
      </c>
      <c r="F29">
        <v>8</v>
      </c>
      <c r="G29">
        <f>VLOOKUP(A29,[1]inrix_key!$A:$C,3,FALSE)</f>
        <v>0</v>
      </c>
      <c r="H29">
        <f t="shared" si="0"/>
        <v>-5.2291666666666618E-2</v>
      </c>
    </row>
    <row r="30" spans="1:8" x14ac:dyDescent="0.25">
      <c r="A30">
        <v>484366819</v>
      </c>
      <c r="B30" t="s">
        <v>22</v>
      </c>
      <c r="C30">
        <v>-1.71850198412698E-2</v>
      </c>
      <c r="D30">
        <v>-1.89034120995758</v>
      </c>
      <c r="E30">
        <v>0.100624884170854</v>
      </c>
      <c r="F30">
        <v>8</v>
      </c>
      <c r="G30" t="str">
        <f>VLOOKUP(A30,[1]inrix_key!$A:$C,3,FALSE)</f>
        <v>Pine_E</v>
      </c>
      <c r="H30">
        <f t="shared" si="0"/>
        <v>-1.031101190476188</v>
      </c>
    </row>
    <row r="31" spans="1:8" x14ac:dyDescent="0.25">
      <c r="A31">
        <v>484371307</v>
      </c>
      <c r="B31" t="s">
        <v>22</v>
      </c>
      <c r="C31">
        <v>-2.16865079365079E-2</v>
      </c>
      <c r="D31">
        <v>-6.6056940132118802</v>
      </c>
      <c r="E31">
        <v>3.02700614984023E-4</v>
      </c>
      <c r="F31">
        <v>8</v>
      </c>
      <c r="G31" t="str">
        <f>VLOOKUP(A31,[1]inrix_key!$A:$C,3,FALSE)</f>
        <v>Pine_E</v>
      </c>
      <c r="H31">
        <f t="shared" si="0"/>
        <v>-1.301190476190474</v>
      </c>
    </row>
    <row r="32" spans="1:8" x14ac:dyDescent="0.25">
      <c r="A32">
        <v>1187327938</v>
      </c>
      <c r="B32" t="s">
        <v>22</v>
      </c>
      <c r="C32">
        <v>5.4208829365079203E-2</v>
      </c>
      <c r="D32">
        <v>2.7869391698324799</v>
      </c>
      <c r="E32">
        <v>2.7027052711934198E-2</v>
      </c>
      <c r="F32">
        <v>8</v>
      </c>
      <c r="G32" t="str">
        <f>VLOOKUP(A32,[1]inrix_key!$A:$C,3,FALSE)</f>
        <v>Franklin_W</v>
      </c>
      <c r="H32">
        <f t="shared" si="0"/>
        <v>3.2525297619047522</v>
      </c>
    </row>
    <row r="33" spans="1:8" x14ac:dyDescent="0.25">
      <c r="A33">
        <v>1187333605</v>
      </c>
      <c r="B33" t="s">
        <v>22</v>
      </c>
      <c r="C33">
        <v>0.200989583333333</v>
      </c>
      <c r="D33">
        <v>1.6734200702623401</v>
      </c>
      <c r="E33">
        <v>0.13815990560948299</v>
      </c>
      <c r="F33">
        <v>8</v>
      </c>
      <c r="G33" t="str">
        <f>VLOOKUP(A33,[1]inrix_key!$A:$C,3,FALSE)</f>
        <v>Colchester_N</v>
      </c>
      <c r="H33">
        <f t="shared" si="0"/>
        <v>12.05937499999998</v>
      </c>
    </row>
    <row r="34" spans="1:8" x14ac:dyDescent="0.25">
      <c r="A34">
        <v>1187333665</v>
      </c>
      <c r="B34" t="s">
        <v>22</v>
      </c>
      <c r="C34">
        <v>-0.71322916666666603</v>
      </c>
      <c r="D34">
        <v>-13.6189681588016</v>
      </c>
      <c r="E34" s="1">
        <v>2.7082752865823901E-6</v>
      </c>
      <c r="F34">
        <v>8</v>
      </c>
      <c r="G34" t="str">
        <f>VLOOKUP(A34,[1]inrix_key!$A:$C,3,FALSE)</f>
        <v>Chinden_N</v>
      </c>
      <c r="H34">
        <f t="shared" si="0"/>
        <v>-42.79374999999996</v>
      </c>
    </row>
    <row r="35" spans="1:8" x14ac:dyDescent="0.25">
      <c r="A35">
        <v>1187334983</v>
      </c>
      <c r="B35" t="s">
        <v>22</v>
      </c>
      <c r="C35">
        <v>9.98263888888885E-3</v>
      </c>
      <c r="D35">
        <v>0.49656917784951699</v>
      </c>
      <c r="E35">
        <v>0.63470502783216198</v>
      </c>
      <c r="F35">
        <v>8</v>
      </c>
      <c r="G35" t="str">
        <f>VLOOKUP(A35,[1]inrix_key!$A:$C,3,FALSE)</f>
        <v>Wainwright_N</v>
      </c>
      <c r="H35">
        <f t="shared" si="0"/>
        <v>0.59895833333333104</v>
      </c>
    </row>
    <row r="36" spans="1:8" x14ac:dyDescent="0.25">
      <c r="A36">
        <v>1187335042</v>
      </c>
      <c r="B36" t="s">
        <v>22</v>
      </c>
      <c r="C36">
        <v>-6.2795138888888893E-2</v>
      </c>
      <c r="D36">
        <v>-2.1460369147838998</v>
      </c>
      <c r="E36">
        <v>6.9016327844554096E-2</v>
      </c>
      <c r="F36">
        <v>8</v>
      </c>
      <c r="G36" t="str">
        <f>VLOOKUP(A36,[1]inrix_key!$A:$C,3,FALSE)</f>
        <v>Ustick_N</v>
      </c>
      <c r="H36">
        <f t="shared" si="0"/>
        <v>-3.7677083333333337</v>
      </c>
    </row>
    <row r="37" spans="1:8" x14ac:dyDescent="0.25">
      <c r="A37">
        <v>1187377510</v>
      </c>
      <c r="B37" t="s">
        <v>22</v>
      </c>
      <c r="C37">
        <v>-4.2981150793650596E-3</v>
      </c>
      <c r="D37">
        <v>-0.417854356046579</v>
      </c>
      <c r="E37">
        <v>0.68857305274275105</v>
      </c>
      <c r="F37">
        <v>8</v>
      </c>
      <c r="G37" t="str">
        <f>VLOOKUP(A37,[1]inrix_key!$A:$C,3,FALSE)</f>
        <v>EB_S</v>
      </c>
      <c r="H37">
        <f t="shared" si="0"/>
        <v>-0.25788690476190357</v>
      </c>
    </row>
    <row r="38" spans="1:8" x14ac:dyDescent="0.25">
      <c r="A38">
        <v>1187466896</v>
      </c>
      <c r="B38" t="s">
        <v>22</v>
      </c>
      <c r="C38">
        <v>-2.31770833333333E-2</v>
      </c>
      <c r="D38">
        <v>-2.6675812193436599</v>
      </c>
      <c r="E38">
        <v>3.2112105888218397E-2</v>
      </c>
      <c r="F38">
        <v>8</v>
      </c>
      <c r="G38" t="str">
        <f>VLOOKUP(A38,[1]inrix_key!$A:$C,3,FALSE)</f>
        <v>IslandWood_S</v>
      </c>
      <c r="H38">
        <f t="shared" si="0"/>
        <v>-1.390624999999998</v>
      </c>
    </row>
    <row r="39" spans="1:8" x14ac:dyDescent="0.25">
      <c r="A39">
        <v>1187466917</v>
      </c>
      <c r="B39" t="s">
        <v>22</v>
      </c>
      <c r="C39">
        <v>-8.4375000000000006E-3</v>
      </c>
      <c r="D39">
        <v>-0.97396661527760198</v>
      </c>
      <c r="E39">
        <v>0.362520090561613</v>
      </c>
      <c r="F39">
        <v>8</v>
      </c>
      <c r="G39" t="str">
        <f>VLOOKUP(A39,[1]inrix_key!$A:$C,3,FALSE)</f>
        <v>Colchester_S</v>
      </c>
      <c r="H39">
        <f t="shared" si="0"/>
        <v>-0.50625000000000009</v>
      </c>
    </row>
    <row r="40" spans="1:8" x14ac:dyDescent="0.25">
      <c r="A40">
        <v>1187517040</v>
      </c>
      <c r="B40" t="s">
        <v>22</v>
      </c>
      <c r="C40">
        <v>-2.38368055555555E-2</v>
      </c>
      <c r="D40">
        <v>-2.3680465192588298</v>
      </c>
      <c r="E40">
        <v>4.9748945225473802E-2</v>
      </c>
      <c r="F40">
        <v>8</v>
      </c>
      <c r="G40" t="str">
        <f>VLOOKUP(A40,[1]inrix_key!$A:$C,3,FALSE)</f>
        <v>Wainwright_S</v>
      </c>
      <c r="H40">
        <f t="shared" si="0"/>
        <v>-1.43020833333333</v>
      </c>
    </row>
    <row r="41" spans="1:8" x14ac:dyDescent="0.25">
      <c r="A41">
        <v>1187532837</v>
      </c>
      <c r="B41" t="s">
        <v>22</v>
      </c>
      <c r="C41">
        <v>-1.1979166666666601E-3</v>
      </c>
      <c r="D41">
        <v>-0.490490834294809</v>
      </c>
      <c r="E41">
        <v>0.63878678252952603</v>
      </c>
      <c r="F41">
        <v>8</v>
      </c>
      <c r="G41" t="str">
        <f>VLOOKUP(A41,[1]inrix_key!$A:$C,3,FALSE)</f>
        <v>HobbleCreek_N</v>
      </c>
      <c r="H41">
        <f t="shared" si="0"/>
        <v>-7.1874999999999606E-2</v>
      </c>
    </row>
    <row r="42" spans="1:8" x14ac:dyDescent="0.25">
      <c r="A42">
        <v>1187548947</v>
      </c>
      <c r="B42" t="s">
        <v>22</v>
      </c>
      <c r="C42">
        <v>-0.123559027777777</v>
      </c>
      <c r="D42">
        <v>-3.1288892198546199</v>
      </c>
      <c r="E42">
        <v>1.6635533557425902E-2</v>
      </c>
      <c r="F42">
        <v>8</v>
      </c>
      <c r="G42" t="str">
        <f>VLOOKUP(A42,[1]inrix_key!$A:$C,3,FALSE)</f>
        <v>Fairview_S</v>
      </c>
      <c r="H42">
        <f t="shared" si="0"/>
        <v>-7.4135416666666201</v>
      </c>
    </row>
    <row r="43" spans="1:8" x14ac:dyDescent="0.25">
      <c r="A43">
        <v>1187548975</v>
      </c>
      <c r="B43" t="s">
        <v>22</v>
      </c>
      <c r="C43">
        <v>4.4149305555555497E-2</v>
      </c>
      <c r="D43">
        <v>3.3034336545191798</v>
      </c>
      <c r="E43">
        <v>1.30589006692058E-2</v>
      </c>
      <c r="F43">
        <v>8</v>
      </c>
      <c r="G43" t="str">
        <f>VLOOKUP(A43,[1]inrix_key!$A:$C,3,FALSE)</f>
        <v>Pine_S</v>
      </c>
      <c r="H43">
        <f t="shared" si="0"/>
        <v>2.6489583333333298</v>
      </c>
    </row>
    <row r="44" spans="1:8" x14ac:dyDescent="0.25">
      <c r="A44">
        <v>1187548987</v>
      </c>
      <c r="B44" t="s">
        <v>22</v>
      </c>
      <c r="C44">
        <v>-6.6840277777777707E-2</v>
      </c>
      <c r="D44">
        <v>-5.3647817080983797</v>
      </c>
      <c r="E44">
        <v>1.0473799672074101E-3</v>
      </c>
      <c r="F44">
        <v>8</v>
      </c>
      <c r="G44" t="str">
        <f>VLOOKUP(A44,[1]inrix_key!$A:$C,3,FALSE)</f>
        <v>McMillan_S</v>
      </c>
      <c r="H44">
        <f t="shared" si="0"/>
        <v>-4.0104166666666625</v>
      </c>
    </row>
    <row r="45" spans="1:8" x14ac:dyDescent="0.25">
      <c r="A45">
        <v>1187549053</v>
      </c>
      <c r="B45" t="s">
        <v>22</v>
      </c>
      <c r="C45">
        <v>2.1649305555555502E-2</v>
      </c>
      <c r="D45">
        <v>3.2044577627681998</v>
      </c>
      <c r="E45">
        <v>1.4972828101775399E-2</v>
      </c>
      <c r="F45">
        <v>8</v>
      </c>
      <c r="G45" t="str">
        <f>VLOOKUP(A45,[1]inrix_key!$A:$C,3,FALSE)</f>
        <v>HobbleCreek_S</v>
      </c>
      <c r="H45">
        <f t="shared" si="0"/>
        <v>1.2989583333333301</v>
      </c>
    </row>
    <row r="46" spans="1:8" x14ac:dyDescent="0.25">
      <c r="A46">
        <v>1187577122</v>
      </c>
      <c r="B46" t="s">
        <v>22</v>
      </c>
      <c r="C46">
        <v>-8.0243055555555498E-2</v>
      </c>
      <c r="D46">
        <v>-5.97889190462024</v>
      </c>
      <c r="E46">
        <v>5.5380826594246795E-4</v>
      </c>
      <c r="F46">
        <v>8</v>
      </c>
      <c r="G46" t="str">
        <f>VLOOKUP(A46,[1]inrix_key!$A:$C,3,FALSE)</f>
        <v>Chinden_E</v>
      </c>
      <c r="H46">
        <f t="shared" si="0"/>
        <v>-4.8145833333333297</v>
      </c>
    </row>
    <row r="47" spans="1:8" x14ac:dyDescent="0.25">
      <c r="A47">
        <v>1187579027</v>
      </c>
      <c r="B47" t="s">
        <v>22</v>
      </c>
      <c r="C47">
        <v>-0.17977430555555499</v>
      </c>
      <c r="D47">
        <v>-14.711726713860299</v>
      </c>
      <c r="E47" s="1">
        <v>1.6036465936296601E-6</v>
      </c>
      <c r="F47">
        <v>8</v>
      </c>
      <c r="G47" t="str">
        <f>VLOOKUP(A47,[1]inrix_key!$A:$C,3,FALSE)</f>
        <v>Fairview_E</v>
      </c>
      <c r="H47">
        <f t="shared" si="0"/>
        <v>-10.786458333333298</v>
      </c>
    </row>
    <row r="48" spans="1:8" x14ac:dyDescent="0.25">
      <c r="A48">
        <v>1187586311</v>
      </c>
      <c r="B48" t="s">
        <v>22</v>
      </c>
      <c r="C48">
        <v>-7.2065972222222205E-2</v>
      </c>
      <c r="D48">
        <v>-4.9221614664933</v>
      </c>
      <c r="E48">
        <v>1.7094332355973301E-3</v>
      </c>
      <c r="F48">
        <v>8</v>
      </c>
      <c r="G48" t="str">
        <f>VLOOKUP(A48,[1]inrix_key!$A:$C,3,FALSE)</f>
        <v>EB_W</v>
      </c>
      <c r="H48">
        <f t="shared" si="0"/>
        <v>-4.3239583333333327</v>
      </c>
    </row>
    <row r="49" spans="1:8" x14ac:dyDescent="0.25">
      <c r="A49">
        <v>1187612015</v>
      </c>
      <c r="B49" t="s">
        <v>22</v>
      </c>
      <c r="C49">
        <v>1.4999999999999999E-2</v>
      </c>
      <c r="D49">
        <v>1.1354881452791701</v>
      </c>
      <c r="E49">
        <v>0.29354890550298501</v>
      </c>
      <c r="F49">
        <v>8</v>
      </c>
      <c r="G49" t="str">
        <f>VLOOKUP(A49,[1]inrix_key!$A:$C,3,FALSE)</f>
        <v>Chinden_W</v>
      </c>
      <c r="H49">
        <f t="shared" si="0"/>
        <v>0.89999999999999991</v>
      </c>
    </row>
    <row r="50" spans="1:8" x14ac:dyDescent="0.25">
      <c r="A50">
        <v>1187635580</v>
      </c>
      <c r="B50" t="s">
        <v>22</v>
      </c>
      <c r="C50">
        <v>-6.9374999999999895E-2</v>
      </c>
      <c r="D50">
        <v>-11.808760486372799</v>
      </c>
      <c r="E50" s="1">
        <v>7.0816528274999303E-6</v>
      </c>
      <c r="F50">
        <v>8</v>
      </c>
      <c r="G50" t="str">
        <f>VLOOKUP(A50,[1]inrix_key!$A:$C,3,FALSE)</f>
        <v>WB_S</v>
      </c>
      <c r="H50">
        <f t="shared" si="0"/>
        <v>-4.1624999999999934</v>
      </c>
    </row>
    <row r="51" spans="1:8" x14ac:dyDescent="0.25">
      <c r="A51">
        <v>1187636735</v>
      </c>
      <c r="B51" t="s">
        <v>22</v>
      </c>
      <c r="C51">
        <v>-3.7447916666666602E-2</v>
      </c>
      <c r="D51">
        <v>-3.64292850796611</v>
      </c>
      <c r="E51">
        <v>8.2549632284392993E-3</v>
      </c>
      <c r="F51">
        <v>8</v>
      </c>
      <c r="G51" t="str">
        <f>VLOOKUP(A51,[1]inrix_key!$A:$C,3,FALSE)</f>
        <v>WB_E</v>
      </c>
      <c r="H51">
        <f t="shared" si="0"/>
        <v>-2.2468749999999962</v>
      </c>
    </row>
    <row r="52" spans="1:8" x14ac:dyDescent="0.25">
      <c r="A52">
        <v>1187654588</v>
      </c>
      <c r="B52" t="s">
        <v>22</v>
      </c>
      <c r="C52">
        <v>-9.7375992063491998E-2</v>
      </c>
      <c r="D52">
        <v>-4.5421085536725103</v>
      </c>
      <c r="E52">
        <v>2.6609980657334499E-3</v>
      </c>
      <c r="F52">
        <v>8</v>
      </c>
      <c r="G52" t="str">
        <f>VLOOKUP(A52,[1]inrix_key!$A:$C,3,FALSE)</f>
        <v>Franklin_N</v>
      </c>
      <c r="H52">
        <f t="shared" si="0"/>
        <v>-5.8425595238095198</v>
      </c>
    </row>
    <row r="53" spans="1:8" x14ac:dyDescent="0.25">
      <c r="A53">
        <v>1187654609</v>
      </c>
      <c r="B53" t="s">
        <v>22</v>
      </c>
      <c r="C53">
        <v>-1.63541666666666E-2</v>
      </c>
      <c r="D53">
        <v>-1.4439247271973099</v>
      </c>
      <c r="E53">
        <v>0.191983195938488</v>
      </c>
      <c r="F53">
        <v>8</v>
      </c>
      <c r="G53" t="str">
        <f>VLOOKUP(A53,[1]inrix_key!$A:$C,3,FALSE)</f>
        <v>Pine_N</v>
      </c>
      <c r="H53">
        <f t="shared" si="0"/>
        <v>-0.98124999999999596</v>
      </c>
    </row>
    <row r="54" spans="1:8" x14ac:dyDescent="0.25">
      <c r="A54">
        <v>117503882</v>
      </c>
      <c r="B54" t="s">
        <v>21</v>
      </c>
      <c r="C54">
        <v>3.8083333333333198E-2</v>
      </c>
      <c r="D54">
        <v>1.0043697303728201</v>
      </c>
      <c r="E54">
        <v>0.38919929487156102</v>
      </c>
      <c r="F54">
        <v>4</v>
      </c>
      <c r="G54" t="str">
        <f>VLOOKUP(A54,[1]inrix_key!$A:$C,3,FALSE)</f>
        <v>Franklin_E</v>
      </c>
      <c r="H54">
        <f t="shared" si="0"/>
        <v>2.2849999999999917</v>
      </c>
    </row>
    <row r="55" spans="1:8" x14ac:dyDescent="0.25">
      <c r="A55">
        <v>119501618</v>
      </c>
      <c r="B55" t="s">
        <v>21</v>
      </c>
      <c r="C55">
        <v>-4.9904761904761799E-2</v>
      </c>
      <c r="D55">
        <v>-3.3980572272471901</v>
      </c>
      <c r="E55">
        <v>1.9291691165092099E-2</v>
      </c>
      <c r="F55">
        <v>6</v>
      </c>
      <c r="G55" t="str">
        <f>VLOOKUP(A55,[1]inrix_key!$A:$C,3,FALSE)</f>
        <v>McMillan_N</v>
      </c>
      <c r="H55">
        <f t="shared" si="0"/>
        <v>-2.994285714285708</v>
      </c>
    </row>
    <row r="56" spans="1:8" x14ac:dyDescent="0.25">
      <c r="A56">
        <v>384121516</v>
      </c>
      <c r="B56" t="s">
        <v>21</v>
      </c>
      <c r="C56">
        <v>-3.4999999999999899E-2</v>
      </c>
      <c r="D56">
        <v>-0.53846153846153799</v>
      </c>
      <c r="E56">
        <v>0.68554715815548495</v>
      </c>
      <c r="F56">
        <v>2</v>
      </c>
      <c r="G56" t="str">
        <f>VLOOKUP(A56,[1]inrix_key!$A:$C,3,FALSE)</f>
        <v>McMillan_W</v>
      </c>
      <c r="H56">
        <f t="shared" si="0"/>
        <v>-2.0999999999999939</v>
      </c>
    </row>
    <row r="57" spans="1:8" x14ac:dyDescent="0.25">
      <c r="A57">
        <v>384139881</v>
      </c>
      <c r="B57" t="s">
        <v>21</v>
      </c>
      <c r="C57">
        <v>0.101666666666666</v>
      </c>
      <c r="F57">
        <v>1</v>
      </c>
      <c r="G57" t="str">
        <f>VLOOKUP(A57,[1]inrix_key!$A:$C,3,FALSE)</f>
        <v>Pine_W</v>
      </c>
      <c r="H57">
        <f t="shared" si="0"/>
        <v>6.0999999999999606</v>
      </c>
    </row>
    <row r="58" spans="1:8" x14ac:dyDescent="0.25">
      <c r="A58">
        <v>428958433</v>
      </c>
      <c r="B58" t="s">
        <v>21</v>
      </c>
      <c r="C58">
        <v>-7.2142857142857104E-3</v>
      </c>
      <c r="D58">
        <v>-4.1663509050328802</v>
      </c>
      <c r="E58">
        <v>2.5161885973418001E-2</v>
      </c>
      <c r="F58">
        <v>4</v>
      </c>
      <c r="G58" t="str">
        <f>VLOOKUP(A58,[1]inrix_key!$A:$C,3,FALSE)</f>
        <v>EB_S</v>
      </c>
      <c r="H58">
        <f t="shared" si="0"/>
        <v>-0.43285714285714261</v>
      </c>
    </row>
    <row r="59" spans="1:8" x14ac:dyDescent="0.25">
      <c r="A59">
        <v>428958434</v>
      </c>
      <c r="B59" t="s">
        <v>21</v>
      </c>
      <c r="C59">
        <v>-1.0203042328042301E-2</v>
      </c>
      <c r="D59">
        <v>-1.2484177819716</v>
      </c>
      <c r="E59">
        <v>0.26714799422762198</v>
      </c>
      <c r="F59">
        <v>6</v>
      </c>
      <c r="G59">
        <f>VLOOKUP(A59,[1]inrix_key!$A:$C,3,FALSE)</f>
        <v>0</v>
      </c>
      <c r="H59">
        <f t="shared" si="0"/>
        <v>-0.612182539682538</v>
      </c>
    </row>
    <row r="60" spans="1:8" x14ac:dyDescent="0.25">
      <c r="A60">
        <v>428958435</v>
      </c>
      <c r="B60" t="s">
        <v>21</v>
      </c>
      <c r="C60">
        <v>6.3538359788359597E-3</v>
      </c>
      <c r="D60">
        <v>1.22553522240867</v>
      </c>
      <c r="E60">
        <v>0.27494673377647999</v>
      </c>
      <c r="F60">
        <v>6</v>
      </c>
      <c r="G60">
        <f>VLOOKUP(A60,[1]inrix_key!$A:$C,3,FALSE)</f>
        <v>0</v>
      </c>
      <c r="H60">
        <f t="shared" si="0"/>
        <v>0.38123015873015759</v>
      </c>
    </row>
    <row r="61" spans="1:8" x14ac:dyDescent="0.25">
      <c r="A61">
        <v>448694747</v>
      </c>
      <c r="B61" t="s">
        <v>21</v>
      </c>
      <c r="C61">
        <v>8.7714285714285606E-2</v>
      </c>
      <c r="D61">
        <v>1.6470036481197801</v>
      </c>
      <c r="E61">
        <v>0.17490265046277301</v>
      </c>
      <c r="F61">
        <v>5</v>
      </c>
      <c r="G61" t="str">
        <f>VLOOKUP(A61,[1]inrix_key!$A:$C,3,FALSE)</f>
        <v>Fairview_W</v>
      </c>
      <c r="H61">
        <f t="shared" si="0"/>
        <v>5.2628571428571362</v>
      </c>
    </row>
    <row r="62" spans="1:8" x14ac:dyDescent="0.25">
      <c r="A62">
        <v>448695751</v>
      </c>
      <c r="B62" t="s">
        <v>21</v>
      </c>
      <c r="C62">
        <v>-1.14404761904761E-2</v>
      </c>
      <c r="D62">
        <v>-0.69531133056950301</v>
      </c>
      <c r="E62">
        <v>0.53687856274724699</v>
      </c>
      <c r="F62">
        <v>4</v>
      </c>
      <c r="G62" t="str">
        <f>VLOOKUP(A62,[1]inrix_key!$A:$C,3,FALSE)</f>
        <v>Riverside_N</v>
      </c>
      <c r="H62">
        <f t="shared" si="0"/>
        <v>-0.68642857142856595</v>
      </c>
    </row>
    <row r="63" spans="1:8" x14ac:dyDescent="0.25">
      <c r="A63">
        <v>448695752</v>
      </c>
      <c r="B63" t="s">
        <v>21</v>
      </c>
      <c r="C63">
        <v>4.0833333333333199E-3</v>
      </c>
      <c r="D63">
        <v>0.37069125575964501</v>
      </c>
      <c r="E63">
        <v>0.735495208897333</v>
      </c>
      <c r="F63">
        <v>4</v>
      </c>
      <c r="G63" t="str">
        <f>VLOOKUP(A63,[1]inrix_key!$A:$C,3,FALSE)</f>
        <v>IslandWood_N</v>
      </c>
      <c r="H63">
        <f t="shared" si="0"/>
        <v>0.24499999999999919</v>
      </c>
    </row>
    <row r="64" spans="1:8" x14ac:dyDescent="0.25">
      <c r="A64">
        <v>448695753</v>
      </c>
      <c r="B64" t="s">
        <v>21</v>
      </c>
      <c r="C64">
        <v>2.3047619047618798E-3</v>
      </c>
      <c r="D64">
        <v>0.11752418266679</v>
      </c>
      <c r="E64">
        <v>0.91210957747367805</v>
      </c>
      <c r="F64">
        <v>5</v>
      </c>
      <c r="G64" t="str">
        <f>VLOOKUP(A64,[1]inrix_key!$A:$C,3,FALSE)</f>
        <v>Riverside_S</v>
      </c>
      <c r="H64">
        <f t="shared" si="0"/>
        <v>0.13828571428571279</v>
      </c>
    </row>
    <row r="65" spans="1:8" x14ac:dyDescent="0.25">
      <c r="A65">
        <v>448695754</v>
      </c>
      <c r="B65" t="s">
        <v>21</v>
      </c>
      <c r="C65">
        <v>-1.4833333333333301E-2</v>
      </c>
      <c r="D65">
        <v>-2.27800496682381</v>
      </c>
      <c r="E65">
        <v>8.4973383737323993E-2</v>
      </c>
      <c r="F65">
        <v>5</v>
      </c>
      <c r="G65" t="str">
        <f>VLOOKUP(A65,[1]inrix_key!$A:$C,3,FALSE)</f>
        <v>State_S</v>
      </c>
      <c r="H65">
        <f t="shared" si="0"/>
        <v>-0.88999999999999801</v>
      </c>
    </row>
    <row r="66" spans="1:8" x14ac:dyDescent="0.25">
      <c r="A66">
        <v>448697006</v>
      </c>
      <c r="B66" t="s">
        <v>21</v>
      </c>
      <c r="C66">
        <v>1.0642195767195699E-2</v>
      </c>
      <c r="D66">
        <v>0.65403632717708304</v>
      </c>
      <c r="E66">
        <v>0.541970864296897</v>
      </c>
      <c r="F66">
        <v>6</v>
      </c>
      <c r="G66" t="str">
        <f>VLOOKUP(A66,[1]inrix_key!$A:$C,3,FALSE)</f>
        <v>StLukes_N</v>
      </c>
      <c r="H66">
        <f t="shared" ref="H66:H129" si="1">60*C66</f>
        <v>0.63853174603174201</v>
      </c>
    </row>
    <row r="67" spans="1:8" x14ac:dyDescent="0.25">
      <c r="A67">
        <v>448697007</v>
      </c>
      <c r="B67" t="s">
        <v>21</v>
      </c>
      <c r="C67">
        <v>-8.0628306878307004E-3</v>
      </c>
      <c r="D67">
        <v>-1.03795819586385</v>
      </c>
      <c r="E67">
        <v>0.34685528906020202</v>
      </c>
      <c r="F67">
        <v>6</v>
      </c>
      <c r="G67" t="str">
        <f>VLOOKUP(A67,[1]inrix_key!$A:$C,3,FALSE)</f>
        <v>WB_N</v>
      </c>
      <c r="H67">
        <f t="shared" si="1"/>
        <v>-0.48376984126984202</v>
      </c>
    </row>
    <row r="68" spans="1:8" x14ac:dyDescent="0.25">
      <c r="A68">
        <v>448697008</v>
      </c>
      <c r="B68" t="s">
        <v>21</v>
      </c>
      <c r="C68">
        <v>-3.5300264550264498E-2</v>
      </c>
      <c r="D68">
        <v>-3.1083984840768202</v>
      </c>
      <c r="E68">
        <v>2.6598966898537201E-2</v>
      </c>
      <c r="F68">
        <v>6</v>
      </c>
      <c r="G68" t="str">
        <f>VLOOKUP(A68,[1]inrix_key!$A:$C,3,FALSE)</f>
        <v>RiverValley_S</v>
      </c>
      <c r="H68">
        <f t="shared" si="1"/>
        <v>-2.11801587301587</v>
      </c>
    </row>
    <row r="69" spans="1:8" x14ac:dyDescent="0.25">
      <c r="A69">
        <v>448697009</v>
      </c>
      <c r="B69" t="s">
        <v>21</v>
      </c>
      <c r="C69">
        <v>-1.6822751322751298E-2</v>
      </c>
      <c r="D69">
        <v>-2.42405853429339</v>
      </c>
      <c r="E69">
        <v>5.9817212434483603E-2</v>
      </c>
      <c r="F69">
        <v>6</v>
      </c>
      <c r="G69" t="str">
        <f>VLOOKUP(A69,[1]inrix_key!$A:$C,3,FALSE)</f>
        <v>Ustick_S</v>
      </c>
      <c r="H69">
        <f t="shared" si="1"/>
        <v>-1.0093650793650779</v>
      </c>
    </row>
    <row r="70" spans="1:8" x14ac:dyDescent="0.25">
      <c r="A70">
        <v>448697010</v>
      </c>
      <c r="B70" t="s">
        <v>21</v>
      </c>
      <c r="C70">
        <v>5.9953703703703601E-3</v>
      </c>
      <c r="D70">
        <v>0.283687526443479</v>
      </c>
      <c r="E70">
        <v>0.78802162158141298</v>
      </c>
      <c r="F70">
        <v>6</v>
      </c>
      <c r="G70" t="str">
        <f>VLOOKUP(A70,[1]inrix_key!$A:$C,3,FALSE)</f>
        <v>RiverValley_N</v>
      </c>
      <c r="H70">
        <f t="shared" si="1"/>
        <v>0.35972222222222161</v>
      </c>
    </row>
    <row r="71" spans="1:8" x14ac:dyDescent="0.25">
      <c r="A71">
        <v>448697011</v>
      </c>
      <c r="B71" t="s">
        <v>21</v>
      </c>
      <c r="C71">
        <v>-3.3916666666666602E-2</v>
      </c>
      <c r="D71">
        <v>-2.0219100665165799</v>
      </c>
      <c r="E71">
        <v>9.9128488343269802E-2</v>
      </c>
      <c r="F71">
        <v>6</v>
      </c>
      <c r="G71" t="str">
        <f>VLOOKUP(A71,[1]inrix_key!$A:$C,3,FALSE)</f>
        <v>Fairview_N</v>
      </c>
      <c r="H71">
        <f t="shared" si="1"/>
        <v>-2.0349999999999961</v>
      </c>
    </row>
    <row r="72" spans="1:8" x14ac:dyDescent="0.25">
      <c r="A72">
        <v>448725595</v>
      </c>
      <c r="B72" t="s">
        <v>21</v>
      </c>
      <c r="C72">
        <v>-2.7520502645502602E-2</v>
      </c>
      <c r="D72">
        <v>-3.4405900897776398</v>
      </c>
      <c r="E72">
        <v>1.8423640369835199E-2</v>
      </c>
      <c r="F72">
        <v>6</v>
      </c>
      <c r="G72" t="str">
        <f>VLOOKUP(A72,[1]inrix_key!$A:$C,3,FALSE)</f>
        <v>StLukes_S</v>
      </c>
      <c r="H72">
        <f t="shared" si="1"/>
        <v>-1.6512301587301561</v>
      </c>
    </row>
    <row r="73" spans="1:8" x14ac:dyDescent="0.25">
      <c r="A73">
        <v>448725596</v>
      </c>
      <c r="B73" t="s">
        <v>21</v>
      </c>
      <c r="C73">
        <v>-3.7381613756613703E-2</v>
      </c>
      <c r="D73">
        <v>-2.15989807019437</v>
      </c>
      <c r="E73">
        <v>8.3197697998089404E-2</v>
      </c>
      <c r="F73">
        <v>6</v>
      </c>
      <c r="G73" t="str">
        <f>VLOOKUP(A73,[1]inrix_key!$A:$C,3,FALSE)</f>
        <v>Franklin_S</v>
      </c>
      <c r="H73">
        <f t="shared" si="1"/>
        <v>-2.242896825396822</v>
      </c>
    </row>
    <row r="74" spans="1:8" x14ac:dyDescent="0.25">
      <c r="A74">
        <v>448725597</v>
      </c>
      <c r="B74" t="s">
        <v>21</v>
      </c>
      <c r="C74">
        <v>0.28275</v>
      </c>
      <c r="D74">
        <v>3.7826086956521698</v>
      </c>
      <c r="E74">
        <v>0.164537522656026</v>
      </c>
      <c r="F74">
        <v>2</v>
      </c>
      <c r="G74" t="str">
        <f>VLOOKUP(A74,[1]inrix_key!$A:$C,3,FALSE)</f>
        <v>Ustick_E</v>
      </c>
      <c r="H74">
        <f t="shared" si="1"/>
        <v>16.965</v>
      </c>
    </row>
    <row r="75" spans="1:8" x14ac:dyDescent="0.25">
      <c r="A75">
        <v>448725599</v>
      </c>
      <c r="B75" t="s">
        <v>21</v>
      </c>
      <c r="C75">
        <v>-6.8333333333333397E-3</v>
      </c>
      <c r="D75">
        <v>-0.76719321827924902</v>
      </c>
      <c r="E75">
        <v>0.48574478596105403</v>
      </c>
      <c r="F75">
        <v>5</v>
      </c>
      <c r="G75" t="str">
        <f>VLOOKUP(A75,[1]inrix_key!$A:$C,3,FALSE)</f>
        <v>Chinden_S</v>
      </c>
      <c r="H75">
        <f t="shared" si="1"/>
        <v>-0.41000000000000036</v>
      </c>
    </row>
    <row r="76" spans="1:8" x14ac:dyDescent="0.25">
      <c r="A76">
        <v>484366819</v>
      </c>
      <c r="B76" t="s">
        <v>21</v>
      </c>
      <c r="C76">
        <v>-0.2</v>
      </c>
      <c r="F76">
        <v>1</v>
      </c>
      <c r="G76" t="str">
        <f>VLOOKUP(A76,[1]inrix_key!$A:$C,3,FALSE)</f>
        <v>Pine_E</v>
      </c>
      <c r="H76">
        <f t="shared" si="1"/>
        <v>-12</v>
      </c>
    </row>
    <row r="77" spans="1:8" x14ac:dyDescent="0.25">
      <c r="A77">
        <v>484371307</v>
      </c>
      <c r="B77" t="s">
        <v>21</v>
      </c>
      <c r="C77">
        <v>-5.0000000000000001E-3</v>
      </c>
      <c r="F77">
        <v>1</v>
      </c>
      <c r="G77" t="str">
        <f>VLOOKUP(A77,[1]inrix_key!$A:$C,3,FALSE)</f>
        <v>Pine_E</v>
      </c>
      <c r="H77">
        <f t="shared" si="1"/>
        <v>-0.3</v>
      </c>
    </row>
    <row r="78" spans="1:8" x14ac:dyDescent="0.25">
      <c r="A78">
        <v>1187327938</v>
      </c>
      <c r="B78" t="s">
        <v>21</v>
      </c>
      <c r="C78">
        <v>3.95238095238088E-3</v>
      </c>
      <c r="D78">
        <v>9.73185569914434E-2</v>
      </c>
      <c r="E78">
        <v>0.92715473988669195</v>
      </c>
      <c r="F78">
        <v>5</v>
      </c>
      <c r="G78" t="str">
        <f>VLOOKUP(A78,[1]inrix_key!$A:$C,3,FALSE)</f>
        <v>Franklin_W</v>
      </c>
      <c r="H78">
        <f t="shared" si="1"/>
        <v>0.2371428571428528</v>
      </c>
    </row>
    <row r="79" spans="1:8" x14ac:dyDescent="0.25">
      <c r="A79">
        <v>1187333605</v>
      </c>
      <c r="B79" t="s">
        <v>21</v>
      </c>
      <c r="C79">
        <v>1.9714285714285601E-2</v>
      </c>
      <c r="D79">
        <v>0.61698157423275801</v>
      </c>
      <c r="E79">
        <v>0.58091019538334099</v>
      </c>
      <c r="F79">
        <v>4</v>
      </c>
      <c r="G79" t="str">
        <f>VLOOKUP(A79,[1]inrix_key!$A:$C,3,FALSE)</f>
        <v>Colchester_N</v>
      </c>
      <c r="H79">
        <f t="shared" si="1"/>
        <v>1.1828571428571362</v>
      </c>
    </row>
    <row r="80" spans="1:8" x14ac:dyDescent="0.25">
      <c r="A80">
        <v>1187333665</v>
      </c>
      <c r="B80" t="s">
        <v>21</v>
      </c>
      <c r="C80">
        <v>-4.5666666666666599E-2</v>
      </c>
      <c r="D80">
        <v>-6.5201143609393997</v>
      </c>
      <c r="E80">
        <v>7.3299062569464604E-3</v>
      </c>
      <c r="F80">
        <v>4</v>
      </c>
      <c r="G80" t="str">
        <f>VLOOKUP(A80,[1]inrix_key!$A:$C,3,FALSE)</f>
        <v>Chinden_N</v>
      </c>
      <c r="H80">
        <f t="shared" si="1"/>
        <v>-2.7399999999999958</v>
      </c>
    </row>
    <row r="81" spans="1:8" x14ac:dyDescent="0.25">
      <c r="A81">
        <v>1187334983</v>
      </c>
      <c r="B81" t="s">
        <v>21</v>
      </c>
      <c r="C81">
        <v>-1.09880952380952E-2</v>
      </c>
      <c r="D81">
        <v>-0.79540756486192499</v>
      </c>
      <c r="E81">
        <v>0.462448104679204</v>
      </c>
      <c r="F81">
        <v>6</v>
      </c>
      <c r="G81" t="str">
        <f>VLOOKUP(A81,[1]inrix_key!$A:$C,3,FALSE)</f>
        <v>Wainwright_N</v>
      </c>
      <c r="H81">
        <f t="shared" si="1"/>
        <v>-0.65928571428571203</v>
      </c>
    </row>
    <row r="82" spans="1:8" x14ac:dyDescent="0.25">
      <c r="A82">
        <v>1187335042</v>
      </c>
      <c r="B82" t="s">
        <v>21</v>
      </c>
      <c r="C82">
        <v>-2.2486111111111099E-2</v>
      </c>
      <c r="D82">
        <v>-1.605596393021</v>
      </c>
      <c r="E82">
        <v>0.16927040734379001</v>
      </c>
      <c r="F82">
        <v>6</v>
      </c>
      <c r="G82" t="str">
        <f>VLOOKUP(A82,[1]inrix_key!$A:$C,3,FALSE)</f>
        <v>Ustick_N</v>
      </c>
      <c r="H82">
        <f t="shared" si="1"/>
        <v>-1.349166666666666</v>
      </c>
    </row>
    <row r="83" spans="1:8" x14ac:dyDescent="0.25">
      <c r="A83">
        <v>1187377510</v>
      </c>
      <c r="B83" t="s">
        <v>21</v>
      </c>
      <c r="C83">
        <v>-1.4958333333333299E-2</v>
      </c>
      <c r="D83">
        <v>-2.2542976668799102</v>
      </c>
      <c r="E83">
        <v>0.109501737193617</v>
      </c>
      <c r="F83">
        <v>4</v>
      </c>
      <c r="G83" t="str">
        <f>VLOOKUP(A83,[1]inrix_key!$A:$C,3,FALSE)</f>
        <v>EB_S</v>
      </c>
      <c r="H83">
        <f t="shared" si="1"/>
        <v>-0.89749999999999797</v>
      </c>
    </row>
    <row r="84" spans="1:8" x14ac:dyDescent="0.25">
      <c r="A84">
        <v>1187466896</v>
      </c>
      <c r="B84" t="s">
        <v>21</v>
      </c>
      <c r="C84">
        <v>2.3845238095237999E-2</v>
      </c>
      <c r="D84">
        <v>1.29804694402309</v>
      </c>
      <c r="E84">
        <v>0.26405921321305498</v>
      </c>
      <c r="F84">
        <v>5</v>
      </c>
      <c r="G84" t="str">
        <f>VLOOKUP(A84,[1]inrix_key!$A:$C,3,FALSE)</f>
        <v>IslandWood_S</v>
      </c>
      <c r="H84">
        <f t="shared" si="1"/>
        <v>1.4307142857142801</v>
      </c>
    </row>
    <row r="85" spans="1:8" x14ac:dyDescent="0.25">
      <c r="A85">
        <v>1187466917</v>
      </c>
      <c r="B85" t="s">
        <v>21</v>
      </c>
      <c r="C85">
        <v>-1.11809523809523E-2</v>
      </c>
      <c r="D85">
        <v>-0.83890566637913599</v>
      </c>
      <c r="E85">
        <v>0.44873089547399703</v>
      </c>
      <c r="F85">
        <v>5</v>
      </c>
      <c r="G85" t="str">
        <f>VLOOKUP(A85,[1]inrix_key!$A:$C,3,FALSE)</f>
        <v>Colchester_S</v>
      </c>
      <c r="H85">
        <f t="shared" si="1"/>
        <v>-0.67085714285713804</v>
      </c>
    </row>
    <row r="86" spans="1:8" x14ac:dyDescent="0.25">
      <c r="A86">
        <v>1187517040</v>
      </c>
      <c r="B86" t="s">
        <v>21</v>
      </c>
      <c r="C86">
        <v>1.08730158730158E-2</v>
      </c>
      <c r="D86">
        <v>2.5275823539043198</v>
      </c>
      <c r="E86">
        <v>5.26850482798909E-2</v>
      </c>
      <c r="F86">
        <v>6</v>
      </c>
      <c r="G86" t="str">
        <f>VLOOKUP(A86,[1]inrix_key!$A:$C,3,FALSE)</f>
        <v>Wainwright_S</v>
      </c>
      <c r="H86">
        <f t="shared" si="1"/>
        <v>0.65238095238094795</v>
      </c>
    </row>
    <row r="87" spans="1:8" x14ac:dyDescent="0.25">
      <c r="A87">
        <v>1187532837</v>
      </c>
      <c r="B87" t="s">
        <v>21</v>
      </c>
      <c r="C87">
        <v>3.61111111111117E-4</v>
      </c>
      <c r="D87">
        <v>2.6091869438791899E-2</v>
      </c>
      <c r="E87">
        <v>0.98019340035844704</v>
      </c>
      <c r="F87">
        <v>6</v>
      </c>
      <c r="G87" t="str">
        <f>VLOOKUP(A87,[1]inrix_key!$A:$C,3,FALSE)</f>
        <v>HobbleCreek_N</v>
      </c>
      <c r="H87">
        <f t="shared" si="1"/>
        <v>2.1666666666667021E-2</v>
      </c>
    </row>
    <row r="88" spans="1:8" x14ac:dyDescent="0.25">
      <c r="A88">
        <v>1187548947</v>
      </c>
      <c r="B88" t="s">
        <v>21</v>
      </c>
      <c r="C88">
        <v>-0.109097222222222</v>
      </c>
      <c r="D88">
        <v>-8.1402014354646504</v>
      </c>
      <c r="E88">
        <v>4.5430775140153299E-4</v>
      </c>
      <c r="F88">
        <v>6</v>
      </c>
      <c r="G88" t="str">
        <f>VLOOKUP(A88,[1]inrix_key!$A:$C,3,FALSE)</f>
        <v>Fairview_S</v>
      </c>
      <c r="H88">
        <f t="shared" si="1"/>
        <v>-6.5458333333333201</v>
      </c>
    </row>
    <row r="89" spans="1:8" x14ac:dyDescent="0.25">
      <c r="A89">
        <v>1187548975</v>
      </c>
      <c r="B89" t="s">
        <v>21</v>
      </c>
      <c r="C89">
        <v>-8.74801587301587E-2</v>
      </c>
      <c r="D89">
        <v>-4.0928056193040403</v>
      </c>
      <c r="E89">
        <v>9.4209031298336399E-3</v>
      </c>
      <c r="F89">
        <v>6</v>
      </c>
      <c r="G89" t="str">
        <f>VLOOKUP(A89,[1]inrix_key!$A:$C,3,FALSE)</f>
        <v>Pine_S</v>
      </c>
      <c r="H89">
        <f t="shared" si="1"/>
        <v>-5.2488095238095216</v>
      </c>
    </row>
    <row r="90" spans="1:8" x14ac:dyDescent="0.25">
      <c r="A90">
        <v>1187548987</v>
      </c>
      <c r="B90" t="s">
        <v>21</v>
      </c>
      <c r="C90">
        <v>1.3194444444444399E-2</v>
      </c>
      <c r="D90">
        <v>3.3433299033605599</v>
      </c>
      <c r="E90">
        <v>2.04777146264804E-2</v>
      </c>
      <c r="F90">
        <v>6</v>
      </c>
      <c r="G90" t="str">
        <f>VLOOKUP(A90,[1]inrix_key!$A:$C,3,FALSE)</f>
        <v>McMillan_S</v>
      </c>
      <c r="H90">
        <f t="shared" si="1"/>
        <v>0.79166666666666397</v>
      </c>
    </row>
    <row r="91" spans="1:8" x14ac:dyDescent="0.25">
      <c r="A91">
        <v>1187549053</v>
      </c>
      <c r="B91" t="s">
        <v>21</v>
      </c>
      <c r="C91">
        <v>1.9E-2</v>
      </c>
      <c r="D91">
        <v>0.78740624037186502</v>
      </c>
      <c r="E91">
        <v>0.466711554885411</v>
      </c>
      <c r="F91">
        <v>6</v>
      </c>
      <c r="G91" t="str">
        <f>VLOOKUP(A91,[1]inrix_key!$A:$C,3,FALSE)</f>
        <v>HobbleCreek_S</v>
      </c>
      <c r="H91">
        <f t="shared" si="1"/>
        <v>1.1399999999999999</v>
      </c>
    </row>
    <row r="92" spans="1:8" x14ac:dyDescent="0.25">
      <c r="A92">
        <v>1187577122</v>
      </c>
      <c r="B92" t="s">
        <v>21</v>
      </c>
      <c r="C92">
        <v>-2.3916666666666701E-2</v>
      </c>
      <c r="D92">
        <v>-2.1395283162481298</v>
      </c>
      <c r="E92">
        <v>9.9140335546869296E-2</v>
      </c>
      <c r="F92">
        <v>5</v>
      </c>
      <c r="G92" t="str">
        <f>VLOOKUP(A92,[1]inrix_key!$A:$C,3,FALSE)</f>
        <v>Chinden_E</v>
      </c>
      <c r="H92">
        <f t="shared" si="1"/>
        <v>-1.4350000000000021</v>
      </c>
    </row>
    <row r="93" spans="1:8" x14ac:dyDescent="0.25">
      <c r="A93">
        <v>1187579027</v>
      </c>
      <c r="B93" t="s">
        <v>21</v>
      </c>
      <c r="C93">
        <v>5.9960317460317401E-2</v>
      </c>
      <c r="D93">
        <v>1.52799849312151</v>
      </c>
      <c r="E93">
        <v>0.20123359233886501</v>
      </c>
      <c r="F93">
        <v>5</v>
      </c>
      <c r="G93" t="str">
        <f>VLOOKUP(A93,[1]inrix_key!$A:$C,3,FALSE)</f>
        <v>Fairview_E</v>
      </c>
      <c r="H93">
        <f t="shared" si="1"/>
        <v>3.5976190476190442</v>
      </c>
    </row>
    <row r="94" spans="1:8" x14ac:dyDescent="0.25">
      <c r="A94">
        <v>1187586311</v>
      </c>
      <c r="B94" t="s">
        <v>21</v>
      </c>
      <c r="C94">
        <v>7.9714285714285696E-2</v>
      </c>
      <c r="D94">
        <v>1.4938713498637699</v>
      </c>
      <c r="E94">
        <v>0.209511727026787</v>
      </c>
      <c r="F94">
        <v>5</v>
      </c>
      <c r="G94" t="str">
        <f>VLOOKUP(A94,[1]inrix_key!$A:$C,3,FALSE)</f>
        <v>EB_W</v>
      </c>
      <c r="H94">
        <f t="shared" si="1"/>
        <v>4.782857142857142</v>
      </c>
    </row>
    <row r="95" spans="1:8" x14ac:dyDescent="0.25">
      <c r="A95">
        <v>1187612015</v>
      </c>
      <c r="B95" t="s">
        <v>21</v>
      </c>
      <c r="C95">
        <v>-6.3194444444444303E-2</v>
      </c>
      <c r="D95">
        <v>-4.29302598512571</v>
      </c>
      <c r="E95">
        <v>7.7667083934529297E-3</v>
      </c>
      <c r="F95">
        <v>6</v>
      </c>
      <c r="G95" t="str">
        <f>VLOOKUP(A95,[1]inrix_key!$A:$C,3,FALSE)</f>
        <v>Chinden_W</v>
      </c>
      <c r="H95">
        <f t="shared" si="1"/>
        <v>-3.7916666666666581</v>
      </c>
    </row>
    <row r="96" spans="1:8" x14ac:dyDescent="0.25">
      <c r="A96">
        <v>1187635580</v>
      </c>
      <c r="B96" t="s">
        <v>21</v>
      </c>
      <c r="C96">
        <v>2.24060846560846E-2</v>
      </c>
      <c r="D96">
        <v>2.2849787383379199</v>
      </c>
      <c r="E96">
        <v>7.1094118573938506E-2</v>
      </c>
      <c r="F96">
        <v>6</v>
      </c>
      <c r="G96" t="str">
        <f>VLOOKUP(A96,[1]inrix_key!$A:$C,3,FALSE)</f>
        <v>WB_S</v>
      </c>
      <c r="H96">
        <f t="shared" si="1"/>
        <v>1.3443650793650759</v>
      </c>
    </row>
    <row r="97" spans="1:8" x14ac:dyDescent="0.25">
      <c r="A97">
        <v>1187636735</v>
      </c>
      <c r="B97" t="s">
        <v>21</v>
      </c>
      <c r="C97">
        <v>-3.2063492063492201E-3</v>
      </c>
      <c r="D97">
        <v>-0.17101978863610601</v>
      </c>
      <c r="E97">
        <v>0.87091370284679004</v>
      </c>
      <c r="F97">
        <v>6</v>
      </c>
      <c r="G97" t="str">
        <f>VLOOKUP(A97,[1]inrix_key!$A:$C,3,FALSE)</f>
        <v>WB_E</v>
      </c>
      <c r="H97">
        <f t="shared" si="1"/>
        <v>-0.19238095238095321</v>
      </c>
    </row>
    <row r="98" spans="1:8" x14ac:dyDescent="0.25">
      <c r="A98">
        <v>1187654588</v>
      </c>
      <c r="B98" t="s">
        <v>21</v>
      </c>
      <c r="C98">
        <v>9.0476190476190405E-2</v>
      </c>
      <c r="D98">
        <v>2.5681186748088201</v>
      </c>
      <c r="E98">
        <v>5.0149698546403297E-2</v>
      </c>
      <c r="F98">
        <v>6</v>
      </c>
      <c r="G98" t="str">
        <f>VLOOKUP(A98,[1]inrix_key!$A:$C,3,FALSE)</f>
        <v>Franklin_N</v>
      </c>
      <c r="H98">
        <f t="shared" si="1"/>
        <v>5.4285714285714244</v>
      </c>
    </row>
    <row r="99" spans="1:8" x14ac:dyDescent="0.25">
      <c r="A99">
        <v>1187654609</v>
      </c>
      <c r="B99" t="s">
        <v>21</v>
      </c>
      <c r="C99">
        <v>-1.05158730158729E-2</v>
      </c>
      <c r="D99">
        <v>-0.72543302797986697</v>
      </c>
      <c r="E99">
        <v>0.50070469433416598</v>
      </c>
      <c r="F99">
        <v>6</v>
      </c>
      <c r="G99" t="str">
        <f>VLOOKUP(A99,[1]inrix_key!$A:$C,3,FALSE)</f>
        <v>Pine_N</v>
      </c>
      <c r="H99">
        <f t="shared" si="1"/>
        <v>-0.63095238095237405</v>
      </c>
    </row>
    <row r="100" spans="1:8" x14ac:dyDescent="0.25">
      <c r="A100">
        <v>117503882</v>
      </c>
      <c r="B100" t="s">
        <v>20</v>
      </c>
      <c r="C100">
        <v>1.8828000992063498E-2</v>
      </c>
      <c r="D100">
        <v>1.52341235856354</v>
      </c>
      <c r="E100">
        <v>0.137792907000441</v>
      </c>
      <c r="F100">
        <v>32</v>
      </c>
      <c r="G100" t="str">
        <f>VLOOKUP(A100,[1]inrix_key!$A:$C,3,FALSE)</f>
        <v>Franklin_E</v>
      </c>
      <c r="H100">
        <f t="shared" si="1"/>
        <v>1.1296800595238099</v>
      </c>
    </row>
    <row r="101" spans="1:8" x14ac:dyDescent="0.25">
      <c r="A101">
        <v>117772024</v>
      </c>
      <c r="B101" t="s">
        <v>20</v>
      </c>
      <c r="C101">
        <v>1.1005125661375599E-2</v>
      </c>
      <c r="D101">
        <v>2.0081915320584698</v>
      </c>
      <c r="E101">
        <v>5.6507432654919101E-2</v>
      </c>
      <c r="F101">
        <v>24</v>
      </c>
      <c r="G101" t="str">
        <f>VLOOKUP(A101,[1]inrix_key!$A:$C,3,FALSE)</f>
        <v>IslandWood_W</v>
      </c>
      <c r="H101">
        <f t="shared" si="1"/>
        <v>0.66030753968253597</v>
      </c>
    </row>
    <row r="102" spans="1:8" x14ac:dyDescent="0.25">
      <c r="A102">
        <v>119241469</v>
      </c>
      <c r="B102" t="s">
        <v>20</v>
      </c>
      <c r="C102">
        <v>-2.2988851095993901E-2</v>
      </c>
      <c r="D102">
        <v>-1.6230161886810801</v>
      </c>
      <c r="E102">
        <v>0.12024373762686801</v>
      </c>
      <c r="F102">
        <v>21</v>
      </c>
      <c r="G102" t="str">
        <f>VLOOKUP(A102,[1]inrix_key!$A:$C,3,FALSE)</f>
        <v>Colchester_W</v>
      </c>
      <c r="H102">
        <f t="shared" si="1"/>
        <v>-1.379331065759634</v>
      </c>
    </row>
    <row r="103" spans="1:8" x14ac:dyDescent="0.25">
      <c r="A103">
        <v>119269713</v>
      </c>
      <c r="B103" t="s">
        <v>20</v>
      </c>
      <c r="C103" s="1">
        <v>3.6904761904758303E-5</v>
      </c>
      <c r="D103">
        <v>2.4975767181728498E-3</v>
      </c>
      <c r="E103">
        <v>0.99802432613574399</v>
      </c>
      <c r="F103">
        <v>30</v>
      </c>
      <c r="G103" t="str">
        <f>VLOOKUP(A103,[1]inrix_key!$A:$C,3,FALSE)</f>
        <v>Colchester_E</v>
      </c>
      <c r="H103">
        <f t="shared" si="1"/>
        <v>2.2142857142854982E-3</v>
      </c>
    </row>
    <row r="104" spans="1:8" x14ac:dyDescent="0.25">
      <c r="A104">
        <v>119501618</v>
      </c>
      <c r="B104" t="s">
        <v>20</v>
      </c>
      <c r="C104">
        <v>1.5108395989974901E-2</v>
      </c>
      <c r="D104">
        <v>1.7874368672618199</v>
      </c>
      <c r="E104">
        <v>8.2060733519753196E-2</v>
      </c>
      <c r="F104">
        <v>38</v>
      </c>
      <c r="G104" t="str">
        <f>VLOOKUP(A104,[1]inrix_key!$A:$C,3,FALSE)</f>
        <v>McMillan_N</v>
      </c>
      <c r="H104">
        <f t="shared" si="1"/>
        <v>0.90650375939849404</v>
      </c>
    </row>
    <row r="105" spans="1:8" x14ac:dyDescent="0.25">
      <c r="A105">
        <v>384121516</v>
      </c>
      <c r="B105" t="s">
        <v>20</v>
      </c>
      <c r="C105">
        <v>-2.0626984126984101E-2</v>
      </c>
      <c r="D105">
        <v>-2.3341959020962699</v>
      </c>
      <c r="E105">
        <v>2.6240832667199E-2</v>
      </c>
      <c r="F105">
        <v>32</v>
      </c>
      <c r="G105" t="str">
        <f>VLOOKUP(A105,[1]inrix_key!$A:$C,3,FALSE)</f>
        <v>McMillan_W</v>
      </c>
      <c r="H105">
        <f t="shared" si="1"/>
        <v>-1.2376190476190461</v>
      </c>
    </row>
    <row r="106" spans="1:8" x14ac:dyDescent="0.25">
      <c r="A106">
        <v>384139881</v>
      </c>
      <c r="B106" t="s">
        <v>20</v>
      </c>
      <c r="C106">
        <v>7.7388558201058194E-2</v>
      </c>
      <c r="D106">
        <v>6.0664345548928402</v>
      </c>
      <c r="E106" s="1">
        <v>6.3128087827489298E-7</v>
      </c>
      <c r="F106">
        <v>36</v>
      </c>
      <c r="G106" t="str">
        <f>VLOOKUP(A106,[1]inrix_key!$A:$C,3,FALSE)</f>
        <v>Pine_W</v>
      </c>
      <c r="H106">
        <f t="shared" si="1"/>
        <v>4.6433134920634913</v>
      </c>
    </row>
    <row r="107" spans="1:8" x14ac:dyDescent="0.25">
      <c r="A107">
        <v>428958433</v>
      </c>
      <c r="B107" t="s">
        <v>20</v>
      </c>
      <c r="C107">
        <v>-2.8620370370370301E-3</v>
      </c>
      <c r="D107">
        <v>-1.9930133038834199</v>
      </c>
      <c r="E107">
        <v>5.5744371655538499E-2</v>
      </c>
      <c r="F107">
        <v>30</v>
      </c>
      <c r="G107" t="str">
        <f>VLOOKUP(A107,[1]inrix_key!$A:$C,3,FALSE)</f>
        <v>EB_S</v>
      </c>
      <c r="H107">
        <f t="shared" si="1"/>
        <v>-0.1717222222222218</v>
      </c>
    </row>
    <row r="108" spans="1:8" x14ac:dyDescent="0.25">
      <c r="A108">
        <v>428958434</v>
      </c>
      <c r="B108" t="s">
        <v>20</v>
      </c>
      <c r="C108">
        <v>-8.7980367585630296E-4</v>
      </c>
      <c r="D108">
        <v>-0.27125556596570499</v>
      </c>
      <c r="E108">
        <v>0.78770217350970495</v>
      </c>
      <c r="F108">
        <v>38</v>
      </c>
      <c r="G108">
        <f>VLOOKUP(A108,[1]inrix_key!$A:$C,3,FALSE)</f>
        <v>0</v>
      </c>
      <c r="H108">
        <f t="shared" si="1"/>
        <v>-5.2788220551378176E-2</v>
      </c>
    </row>
    <row r="109" spans="1:8" x14ac:dyDescent="0.25">
      <c r="A109">
        <v>428958435</v>
      </c>
      <c r="B109" t="s">
        <v>20</v>
      </c>
      <c r="C109">
        <v>-1.0594193817878E-3</v>
      </c>
      <c r="D109">
        <v>-0.20071472774780599</v>
      </c>
      <c r="E109">
        <v>0.84202090617419501</v>
      </c>
      <c r="F109">
        <v>38</v>
      </c>
      <c r="G109">
        <f>VLOOKUP(A109,[1]inrix_key!$A:$C,3,FALSE)</f>
        <v>0</v>
      </c>
      <c r="H109">
        <f t="shared" si="1"/>
        <v>-6.3565162907267991E-2</v>
      </c>
    </row>
    <row r="110" spans="1:8" x14ac:dyDescent="0.25">
      <c r="A110">
        <v>448694747</v>
      </c>
      <c r="B110" t="s">
        <v>20</v>
      </c>
      <c r="C110">
        <v>2.7159197012138299E-3</v>
      </c>
      <c r="D110">
        <v>0.44522604363385099</v>
      </c>
      <c r="E110">
        <v>0.65906339127846103</v>
      </c>
      <c r="F110">
        <v>34</v>
      </c>
      <c r="G110" t="str">
        <f>VLOOKUP(A110,[1]inrix_key!$A:$C,3,FALSE)</f>
        <v>Fairview_W</v>
      </c>
      <c r="H110">
        <f t="shared" si="1"/>
        <v>0.1629551820728298</v>
      </c>
    </row>
    <row r="111" spans="1:8" x14ac:dyDescent="0.25">
      <c r="A111">
        <v>448694757</v>
      </c>
      <c r="B111" t="s">
        <v>20</v>
      </c>
      <c r="C111">
        <v>-6.9304659498207896E-2</v>
      </c>
      <c r="D111">
        <v>-4.9086032419860297</v>
      </c>
      <c r="E111" s="1">
        <v>3.0153247571300799E-5</v>
      </c>
      <c r="F111">
        <v>31</v>
      </c>
      <c r="G111" t="str">
        <f>VLOOKUP(A111,[1]inrix_key!$A:$C,3,FALSE)</f>
        <v>Ustick_W</v>
      </c>
      <c r="H111">
        <f t="shared" si="1"/>
        <v>-4.1582795698924739</v>
      </c>
    </row>
    <row r="112" spans="1:8" x14ac:dyDescent="0.25">
      <c r="A112">
        <v>448695751</v>
      </c>
      <c r="B112" t="s">
        <v>20</v>
      </c>
      <c r="C112">
        <v>1.2459244959244901E-3</v>
      </c>
      <c r="D112">
        <v>0.26199325299084802</v>
      </c>
      <c r="E112">
        <v>0.79481996905073105</v>
      </c>
      <c r="F112">
        <v>37</v>
      </c>
      <c r="G112" t="str">
        <f>VLOOKUP(A112,[1]inrix_key!$A:$C,3,FALSE)</f>
        <v>Riverside_N</v>
      </c>
      <c r="H112">
        <f t="shared" si="1"/>
        <v>7.47554697554694E-2</v>
      </c>
    </row>
    <row r="113" spans="1:8" x14ac:dyDescent="0.25">
      <c r="A113">
        <v>448695752</v>
      </c>
      <c r="B113" t="s">
        <v>20</v>
      </c>
      <c r="C113">
        <v>-4.4392964392964297E-3</v>
      </c>
      <c r="D113">
        <v>-0.85611780054082998</v>
      </c>
      <c r="E113">
        <v>0.39759535743466201</v>
      </c>
      <c r="F113">
        <v>37</v>
      </c>
      <c r="G113" t="str">
        <f>VLOOKUP(A113,[1]inrix_key!$A:$C,3,FALSE)</f>
        <v>IslandWood_N</v>
      </c>
      <c r="H113">
        <f t="shared" si="1"/>
        <v>-0.26635778635778579</v>
      </c>
    </row>
    <row r="114" spans="1:8" x14ac:dyDescent="0.25">
      <c r="A114">
        <v>448695753</v>
      </c>
      <c r="B114" t="s">
        <v>20</v>
      </c>
      <c r="C114">
        <v>-3.8540326040325899E-3</v>
      </c>
      <c r="D114">
        <v>-0.71741069950242597</v>
      </c>
      <c r="E114">
        <v>0.47775025920300801</v>
      </c>
      <c r="F114">
        <v>37</v>
      </c>
      <c r="G114" t="str">
        <f>VLOOKUP(A114,[1]inrix_key!$A:$C,3,FALSE)</f>
        <v>Riverside_S</v>
      </c>
      <c r="H114">
        <f t="shared" si="1"/>
        <v>-0.2312419562419554</v>
      </c>
    </row>
    <row r="115" spans="1:8" x14ac:dyDescent="0.25">
      <c r="A115">
        <v>448695754</v>
      </c>
      <c r="B115" t="s">
        <v>20</v>
      </c>
      <c r="C115">
        <v>-9.9160231660231496E-3</v>
      </c>
      <c r="D115">
        <v>-2.1995423709720101</v>
      </c>
      <c r="E115">
        <v>3.4345247184594599E-2</v>
      </c>
      <c r="F115">
        <v>37</v>
      </c>
      <c r="G115" t="str">
        <f>VLOOKUP(A115,[1]inrix_key!$A:$C,3,FALSE)</f>
        <v>State_S</v>
      </c>
      <c r="H115">
        <f t="shared" si="1"/>
        <v>-0.59496138996138903</v>
      </c>
    </row>
    <row r="116" spans="1:8" x14ac:dyDescent="0.25">
      <c r="A116">
        <v>448697006</v>
      </c>
      <c r="B116" t="s">
        <v>20</v>
      </c>
      <c r="C116">
        <v>8.4439223057644099E-3</v>
      </c>
      <c r="D116">
        <v>1.72292790769191</v>
      </c>
      <c r="E116">
        <v>9.3251075370240494E-2</v>
      </c>
      <c r="F116">
        <v>38</v>
      </c>
      <c r="G116" t="str">
        <f>VLOOKUP(A116,[1]inrix_key!$A:$C,3,FALSE)</f>
        <v>StLukes_N</v>
      </c>
      <c r="H116">
        <f t="shared" si="1"/>
        <v>0.50663533834586461</v>
      </c>
    </row>
    <row r="117" spans="1:8" x14ac:dyDescent="0.25">
      <c r="A117">
        <v>448697007</v>
      </c>
      <c r="B117" t="s">
        <v>20</v>
      </c>
      <c r="C117">
        <v>-2.2422723475355E-3</v>
      </c>
      <c r="D117">
        <v>-0.49890449883927201</v>
      </c>
      <c r="E117">
        <v>0.62080003926859995</v>
      </c>
      <c r="F117">
        <v>38</v>
      </c>
      <c r="G117" t="str">
        <f>VLOOKUP(A117,[1]inrix_key!$A:$C,3,FALSE)</f>
        <v>WB_N</v>
      </c>
      <c r="H117">
        <f t="shared" si="1"/>
        <v>-0.13453634085213001</v>
      </c>
    </row>
    <row r="118" spans="1:8" x14ac:dyDescent="0.25">
      <c r="A118">
        <v>448697008</v>
      </c>
      <c r="B118" t="s">
        <v>20</v>
      </c>
      <c r="C118">
        <v>-2.31771094402673E-2</v>
      </c>
      <c r="D118">
        <v>-2.01047189626036</v>
      </c>
      <c r="E118">
        <v>5.1712433028434097E-2</v>
      </c>
      <c r="F118">
        <v>38</v>
      </c>
      <c r="G118" t="str">
        <f>VLOOKUP(A118,[1]inrix_key!$A:$C,3,FALSE)</f>
        <v>RiverValley_S</v>
      </c>
      <c r="H118">
        <f t="shared" si="1"/>
        <v>-1.390626566416038</v>
      </c>
    </row>
    <row r="119" spans="1:8" x14ac:dyDescent="0.25">
      <c r="A119">
        <v>448697009</v>
      </c>
      <c r="B119" t="s">
        <v>20</v>
      </c>
      <c r="C119">
        <v>-7.3464285714285704E-2</v>
      </c>
      <c r="D119">
        <v>-4.2886253323024599</v>
      </c>
      <c r="E119">
        <v>1.2361430369090001E-4</v>
      </c>
      <c r="F119">
        <v>38</v>
      </c>
      <c r="G119" t="str">
        <f>VLOOKUP(A119,[1]inrix_key!$A:$C,3,FALSE)</f>
        <v>Ustick_S</v>
      </c>
      <c r="H119">
        <f t="shared" si="1"/>
        <v>-4.407857142857142</v>
      </c>
    </row>
    <row r="120" spans="1:8" x14ac:dyDescent="0.25">
      <c r="A120">
        <v>448697010</v>
      </c>
      <c r="B120" t="s">
        <v>20</v>
      </c>
      <c r="C120">
        <v>-3.7578634085213003E-2</v>
      </c>
      <c r="D120">
        <v>-2.8152109180337899</v>
      </c>
      <c r="E120">
        <v>7.7672824997675602E-3</v>
      </c>
      <c r="F120">
        <v>38</v>
      </c>
      <c r="G120" t="str">
        <f>VLOOKUP(A120,[1]inrix_key!$A:$C,3,FALSE)</f>
        <v>RiverValley_N</v>
      </c>
      <c r="H120">
        <f t="shared" si="1"/>
        <v>-2.2547180451127802</v>
      </c>
    </row>
    <row r="121" spans="1:8" x14ac:dyDescent="0.25">
      <c r="A121">
        <v>448697011</v>
      </c>
      <c r="B121" t="s">
        <v>20</v>
      </c>
      <c r="C121">
        <v>-2.0401942355889699E-2</v>
      </c>
      <c r="D121">
        <v>-2.47383457530499</v>
      </c>
      <c r="E121">
        <v>1.8079825831199301E-2</v>
      </c>
      <c r="F121">
        <v>38</v>
      </c>
      <c r="G121" t="str">
        <f>VLOOKUP(A121,[1]inrix_key!$A:$C,3,FALSE)</f>
        <v>Fairview_N</v>
      </c>
      <c r="H121">
        <f t="shared" si="1"/>
        <v>-1.2241165413533819</v>
      </c>
    </row>
    <row r="122" spans="1:8" x14ac:dyDescent="0.25">
      <c r="A122">
        <v>448725595</v>
      </c>
      <c r="B122" t="s">
        <v>20</v>
      </c>
      <c r="C122">
        <v>2.4133876357560501E-2</v>
      </c>
      <c r="D122">
        <v>4.30853500844034</v>
      </c>
      <c r="E122">
        <v>1.16441327701829E-4</v>
      </c>
      <c r="F122">
        <v>38</v>
      </c>
      <c r="G122" t="str">
        <f>VLOOKUP(A122,[1]inrix_key!$A:$C,3,FALSE)</f>
        <v>StLukes_S</v>
      </c>
      <c r="H122">
        <f t="shared" si="1"/>
        <v>1.4480325814536301</v>
      </c>
    </row>
    <row r="123" spans="1:8" x14ac:dyDescent="0.25">
      <c r="A123">
        <v>448725596</v>
      </c>
      <c r="B123" t="s">
        <v>20</v>
      </c>
      <c r="C123">
        <v>2.8959064327485299E-2</v>
      </c>
      <c r="D123">
        <v>5.6451875254358104</v>
      </c>
      <c r="E123" s="1">
        <v>1.8989060582150601E-6</v>
      </c>
      <c r="F123">
        <v>38</v>
      </c>
      <c r="G123" t="str">
        <f>VLOOKUP(A123,[1]inrix_key!$A:$C,3,FALSE)</f>
        <v>Franklin_S</v>
      </c>
      <c r="H123">
        <f t="shared" si="1"/>
        <v>1.7375438596491179</v>
      </c>
    </row>
    <row r="124" spans="1:8" x14ac:dyDescent="0.25">
      <c r="A124">
        <v>448725597</v>
      </c>
      <c r="B124" t="s">
        <v>20</v>
      </c>
      <c r="C124">
        <v>-6.6612244897959097E-2</v>
      </c>
      <c r="D124">
        <v>-4.0667060926471601</v>
      </c>
      <c r="E124">
        <v>3.7089099073076698E-4</v>
      </c>
      <c r="F124">
        <v>28</v>
      </c>
      <c r="G124" t="str">
        <f>VLOOKUP(A124,[1]inrix_key!$A:$C,3,FALSE)</f>
        <v>Ustick_E</v>
      </c>
      <c r="H124">
        <f t="shared" si="1"/>
        <v>-3.9967346938775457</v>
      </c>
    </row>
    <row r="125" spans="1:8" x14ac:dyDescent="0.25">
      <c r="A125">
        <v>448725599</v>
      </c>
      <c r="B125" t="s">
        <v>20</v>
      </c>
      <c r="C125">
        <v>2.8308344058343999E-2</v>
      </c>
      <c r="D125">
        <v>2.3826239339545401</v>
      </c>
      <c r="E125">
        <v>2.2592057990644499E-2</v>
      </c>
      <c r="F125">
        <v>37</v>
      </c>
      <c r="G125" t="str">
        <f>VLOOKUP(A125,[1]inrix_key!$A:$C,3,FALSE)</f>
        <v>Chinden_S</v>
      </c>
      <c r="H125">
        <f t="shared" si="1"/>
        <v>1.69850064350064</v>
      </c>
    </row>
    <row r="126" spans="1:8" x14ac:dyDescent="0.25">
      <c r="A126">
        <v>474871675</v>
      </c>
      <c r="B126" t="s">
        <v>20</v>
      </c>
      <c r="C126">
        <v>-7.8120634920634804E-3</v>
      </c>
      <c r="D126">
        <v>-0.95390596103273495</v>
      </c>
      <c r="E126">
        <v>0.34964096018846302</v>
      </c>
      <c r="F126">
        <v>25</v>
      </c>
      <c r="G126" t="str">
        <f>VLOOKUP(A126,[1]inrix_key!$A:$C,3,FALSE)</f>
        <v>McMillan_E</v>
      </c>
      <c r="H126">
        <f t="shared" si="1"/>
        <v>-0.46872380952380882</v>
      </c>
    </row>
    <row r="127" spans="1:8" x14ac:dyDescent="0.25">
      <c r="A127">
        <v>484347992</v>
      </c>
      <c r="B127" t="s">
        <v>20</v>
      </c>
      <c r="C127">
        <v>5.5413832199546396E-4</v>
      </c>
      <c r="D127">
        <v>0.67555258511064398</v>
      </c>
      <c r="E127">
        <v>0.50506997893710504</v>
      </c>
      <c r="F127">
        <v>28</v>
      </c>
      <c r="G127">
        <f>VLOOKUP(A127,[1]inrix_key!$A:$C,3,FALSE)</f>
        <v>0</v>
      </c>
      <c r="H127">
        <f t="shared" si="1"/>
        <v>3.3248299319727836E-2</v>
      </c>
    </row>
    <row r="128" spans="1:8" x14ac:dyDescent="0.25">
      <c r="A128">
        <v>484366819</v>
      </c>
      <c r="B128" t="s">
        <v>20</v>
      </c>
      <c r="C128">
        <v>1.2980158730158699E-2</v>
      </c>
      <c r="D128">
        <v>1.0329692957360499</v>
      </c>
      <c r="E128">
        <v>0.308910272592955</v>
      </c>
      <c r="F128">
        <v>35</v>
      </c>
      <c r="G128" t="str">
        <f>VLOOKUP(A128,[1]inrix_key!$A:$C,3,FALSE)</f>
        <v>Pine_E</v>
      </c>
      <c r="H128">
        <f t="shared" si="1"/>
        <v>0.77880952380952195</v>
      </c>
    </row>
    <row r="129" spans="1:8" x14ac:dyDescent="0.25">
      <c r="A129">
        <v>484371307</v>
      </c>
      <c r="B129" t="s">
        <v>20</v>
      </c>
      <c r="C129">
        <v>2.9523809523809498E-3</v>
      </c>
      <c r="D129">
        <v>0.88801861776690105</v>
      </c>
      <c r="E129">
        <v>0.38077005010514597</v>
      </c>
      <c r="F129">
        <v>35</v>
      </c>
      <c r="G129" t="str">
        <f>VLOOKUP(A129,[1]inrix_key!$A:$C,3,FALSE)</f>
        <v>Pine_E</v>
      </c>
      <c r="H129">
        <f t="shared" si="1"/>
        <v>0.17714285714285699</v>
      </c>
    </row>
    <row r="130" spans="1:8" x14ac:dyDescent="0.25">
      <c r="A130">
        <v>1187327938</v>
      </c>
      <c r="B130" t="s">
        <v>20</v>
      </c>
      <c r="C130">
        <v>3.9714852607709697E-2</v>
      </c>
      <c r="D130">
        <v>3.1362497340578401</v>
      </c>
      <c r="E130">
        <v>3.52064484859745E-3</v>
      </c>
      <c r="F130">
        <v>35</v>
      </c>
      <c r="G130" t="str">
        <f>VLOOKUP(A130,[1]inrix_key!$A:$C,3,FALSE)</f>
        <v>Franklin_W</v>
      </c>
      <c r="H130">
        <f t="shared" ref="H130:H193" si="2">60*C130</f>
        <v>2.3828911564625819</v>
      </c>
    </row>
    <row r="131" spans="1:8" x14ac:dyDescent="0.25">
      <c r="A131">
        <v>1187333605</v>
      </c>
      <c r="B131" t="s">
        <v>20</v>
      </c>
      <c r="C131">
        <v>1.7137635756056799E-2</v>
      </c>
      <c r="D131">
        <v>1.7818979073769601</v>
      </c>
      <c r="E131">
        <v>8.2974941260588894E-2</v>
      </c>
      <c r="F131">
        <v>38</v>
      </c>
      <c r="G131" t="str">
        <f>VLOOKUP(A131,[1]inrix_key!$A:$C,3,FALSE)</f>
        <v>Colchester_N</v>
      </c>
      <c r="H131">
        <f t="shared" si="2"/>
        <v>1.0282581453634079</v>
      </c>
    </row>
    <row r="132" spans="1:8" x14ac:dyDescent="0.25">
      <c r="A132">
        <v>1187333665</v>
      </c>
      <c r="B132" t="s">
        <v>20</v>
      </c>
      <c r="C132">
        <v>-0.13822554697554601</v>
      </c>
      <c r="D132">
        <v>-4.2947214885713301</v>
      </c>
      <c r="E132">
        <v>1.2646921791684799E-4</v>
      </c>
      <c r="F132">
        <v>37</v>
      </c>
      <c r="G132" t="str">
        <f>VLOOKUP(A132,[1]inrix_key!$A:$C,3,FALSE)</f>
        <v>Chinden_N</v>
      </c>
      <c r="H132">
        <f t="shared" si="2"/>
        <v>-8.2935328185327606</v>
      </c>
    </row>
    <row r="133" spans="1:8" x14ac:dyDescent="0.25">
      <c r="A133">
        <v>1187334983</v>
      </c>
      <c r="B133" t="s">
        <v>20</v>
      </c>
      <c r="C133">
        <v>2.00207811194653E-2</v>
      </c>
      <c r="D133">
        <v>3.6052550696411698</v>
      </c>
      <c r="E133">
        <v>9.1428135089227495E-4</v>
      </c>
      <c r="F133">
        <v>38</v>
      </c>
      <c r="G133" t="str">
        <f>VLOOKUP(A133,[1]inrix_key!$A:$C,3,FALSE)</f>
        <v>Wainwright_N</v>
      </c>
      <c r="H133">
        <f t="shared" si="2"/>
        <v>1.201246867167918</v>
      </c>
    </row>
    <row r="134" spans="1:8" x14ac:dyDescent="0.25">
      <c r="A134">
        <v>1187335042</v>
      </c>
      <c r="B134" t="s">
        <v>20</v>
      </c>
      <c r="C134">
        <v>-1.59149958228905E-2</v>
      </c>
      <c r="D134">
        <v>-1.61404641621186</v>
      </c>
      <c r="E134">
        <v>0.115014732099219</v>
      </c>
      <c r="F134">
        <v>38</v>
      </c>
      <c r="G134" t="str">
        <f>VLOOKUP(A134,[1]inrix_key!$A:$C,3,FALSE)</f>
        <v>Ustick_N</v>
      </c>
      <c r="H134">
        <f t="shared" si="2"/>
        <v>-0.95489974937343003</v>
      </c>
    </row>
    <row r="135" spans="1:8" x14ac:dyDescent="0.25">
      <c r="A135">
        <v>1187377510</v>
      </c>
      <c r="B135" t="s">
        <v>20</v>
      </c>
      <c r="C135">
        <v>-1.08345458553791E-2</v>
      </c>
      <c r="D135">
        <v>-2.29897581482038</v>
      </c>
      <c r="E135">
        <v>2.7592413633863E-2</v>
      </c>
      <c r="F135">
        <v>36</v>
      </c>
      <c r="G135" t="str">
        <f>VLOOKUP(A135,[1]inrix_key!$A:$C,3,FALSE)</f>
        <v>EB_S</v>
      </c>
      <c r="H135">
        <f t="shared" si="2"/>
        <v>-0.650072751322746</v>
      </c>
    </row>
    <row r="136" spans="1:8" x14ac:dyDescent="0.25">
      <c r="A136">
        <v>1187466896</v>
      </c>
      <c r="B136" t="s">
        <v>20</v>
      </c>
      <c r="C136">
        <v>1.0430072930072899E-2</v>
      </c>
      <c r="D136">
        <v>1.22144529947063</v>
      </c>
      <c r="E136">
        <v>0.22985625411823801</v>
      </c>
      <c r="F136">
        <v>37</v>
      </c>
      <c r="G136" t="str">
        <f>VLOOKUP(A136,[1]inrix_key!$A:$C,3,FALSE)</f>
        <v>IslandWood_S</v>
      </c>
      <c r="H136">
        <f t="shared" si="2"/>
        <v>0.62580437580437398</v>
      </c>
    </row>
    <row r="137" spans="1:8" x14ac:dyDescent="0.25">
      <c r="A137">
        <v>1187466917</v>
      </c>
      <c r="B137" t="s">
        <v>20</v>
      </c>
      <c r="C137">
        <v>2.87556842556842E-2</v>
      </c>
      <c r="D137">
        <v>4.2461633683145203</v>
      </c>
      <c r="E137">
        <v>1.4608985430747599E-4</v>
      </c>
      <c r="F137">
        <v>37</v>
      </c>
      <c r="G137" t="str">
        <f>VLOOKUP(A137,[1]inrix_key!$A:$C,3,FALSE)</f>
        <v>Colchester_S</v>
      </c>
      <c r="H137">
        <f t="shared" si="2"/>
        <v>1.725341055341052</v>
      </c>
    </row>
    <row r="138" spans="1:8" x14ac:dyDescent="0.25">
      <c r="A138">
        <v>1187517040</v>
      </c>
      <c r="B138" t="s">
        <v>20</v>
      </c>
      <c r="C138">
        <v>-5.9752506265664303E-3</v>
      </c>
      <c r="D138">
        <v>-0.90109291921691304</v>
      </c>
      <c r="E138">
        <v>0.373367147377487</v>
      </c>
      <c r="F138">
        <v>38</v>
      </c>
      <c r="G138" t="str">
        <f>VLOOKUP(A138,[1]inrix_key!$A:$C,3,FALSE)</f>
        <v>Wainwright_S</v>
      </c>
      <c r="H138">
        <f t="shared" si="2"/>
        <v>-0.35851503759398584</v>
      </c>
    </row>
    <row r="139" spans="1:8" x14ac:dyDescent="0.25">
      <c r="A139">
        <v>1187532837</v>
      </c>
      <c r="B139" t="s">
        <v>20</v>
      </c>
      <c r="C139">
        <v>1.2799498746867101E-2</v>
      </c>
      <c r="D139">
        <v>2.6477395703644202</v>
      </c>
      <c r="E139">
        <v>1.1837845547869E-2</v>
      </c>
      <c r="F139">
        <v>38</v>
      </c>
      <c r="G139" t="str">
        <f>VLOOKUP(A139,[1]inrix_key!$A:$C,3,FALSE)</f>
        <v>HobbleCreek_N</v>
      </c>
      <c r="H139">
        <f t="shared" si="2"/>
        <v>0.76796992481202608</v>
      </c>
    </row>
    <row r="140" spans="1:8" x14ac:dyDescent="0.25">
      <c r="A140">
        <v>1187548947</v>
      </c>
      <c r="B140" t="s">
        <v>20</v>
      </c>
      <c r="C140">
        <v>-1.71741854636591E-3</v>
      </c>
      <c r="D140">
        <v>-0.192163885618821</v>
      </c>
      <c r="E140">
        <v>0.84866464014437104</v>
      </c>
      <c r="F140">
        <v>38</v>
      </c>
      <c r="G140" t="str">
        <f>VLOOKUP(A140,[1]inrix_key!$A:$C,3,FALSE)</f>
        <v>Fairview_S</v>
      </c>
      <c r="H140">
        <f t="shared" si="2"/>
        <v>-0.10304511278195461</v>
      </c>
    </row>
    <row r="141" spans="1:8" x14ac:dyDescent="0.25">
      <c r="A141">
        <v>1187548975</v>
      </c>
      <c r="B141" t="s">
        <v>20</v>
      </c>
      <c r="C141">
        <v>5.6273705096073497E-2</v>
      </c>
      <c r="D141">
        <v>6.0179405439376197</v>
      </c>
      <c r="E141" s="1">
        <v>5.9371377082790896E-7</v>
      </c>
      <c r="F141">
        <v>38</v>
      </c>
      <c r="G141" t="str">
        <f>VLOOKUP(A141,[1]inrix_key!$A:$C,3,FALSE)</f>
        <v>Pine_S</v>
      </c>
      <c r="H141">
        <f t="shared" si="2"/>
        <v>3.3764223057644096</v>
      </c>
    </row>
    <row r="142" spans="1:8" x14ac:dyDescent="0.25">
      <c r="A142">
        <v>1187548987</v>
      </c>
      <c r="B142" t="s">
        <v>20</v>
      </c>
      <c r="C142">
        <v>-1.10055346700083E-2</v>
      </c>
      <c r="D142">
        <v>-1.9627482980943101</v>
      </c>
      <c r="E142">
        <v>5.7227338699239197E-2</v>
      </c>
      <c r="F142">
        <v>38</v>
      </c>
      <c r="G142" t="str">
        <f>VLOOKUP(A142,[1]inrix_key!$A:$C,3,FALSE)</f>
        <v>McMillan_S</v>
      </c>
      <c r="H142">
        <f t="shared" si="2"/>
        <v>-0.66033208020049794</v>
      </c>
    </row>
    <row r="143" spans="1:8" x14ac:dyDescent="0.25">
      <c r="A143">
        <v>1187549053</v>
      </c>
      <c r="B143" t="s">
        <v>20</v>
      </c>
      <c r="C143">
        <v>3.2519945697577303E-2</v>
      </c>
      <c r="D143">
        <v>5.5091419388089404</v>
      </c>
      <c r="E143" s="1">
        <v>2.9020715999399801E-6</v>
      </c>
      <c r="F143">
        <v>38</v>
      </c>
      <c r="G143" t="str">
        <f>VLOOKUP(A143,[1]inrix_key!$A:$C,3,FALSE)</f>
        <v>HobbleCreek_S</v>
      </c>
      <c r="H143">
        <f t="shared" si="2"/>
        <v>1.9511967418546381</v>
      </c>
    </row>
    <row r="144" spans="1:8" x14ac:dyDescent="0.25">
      <c r="A144">
        <v>1187577122</v>
      </c>
      <c r="B144" t="s">
        <v>20</v>
      </c>
      <c r="C144">
        <v>-2.5034670008354201E-2</v>
      </c>
      <c r="D144">
        <v>-2.4551673971357202</v>
      </c>
      <c r="E144">
        <v>1.8903773000193299E-2</v>
      </c>
      <c r="F144">
        <v>38</v>
      </c>
      <c r="G144" t="str">
        <f>VLOOKUP(A144,[1]inrix_key!$A:$C,3,FALSE)</f>
        <v>Chinden_E</v>
      </c>
      <c r="H144">
        <f t="shared" si="2"/>
        <v>-1.5020802005012521</v>
      </c>
    </row>
    <row r="145" spans="1:8" x14ac:dyDescent="0.25">
      <c r="A145">
        <v>1187579027</v>
      </c>
      <c r="B145" t="s">
        <v>20</v>
      </c>
      <c r="C145">
        <v>-3.1432649911816497E-2</v>
      </c>
      <c r="D145">
        <v>-3.9428603550914501</v>
      </c>
      <c r="E145">
        <v>3.6820024427492598E-4</v>
      </c>
      <c r="F145">
        <v>36</v>
      </c>
      <c r="G145" t="str">
        <f>VLOOKUP(A145,[1]inrix_key!$A:$C,3,FALSE)</f>
        <v>Fairview_E</v>
      </c>
      <c r="H145">
        <f t="shared" si="2"/>
        <v>-1.8859589947089899</v>
      </c>
    </row>
    <row r="146" spans="1:8" x14ac:dyDescent="0.25">
      <c r="A146">
        <v>1187586311</v>
      </c>
      <c r="B146" t="s">
        <v>20</v>
      </c>
      <c r="C146">
        <v>-9.3031537176274E-3</v>
      </c>
      <c r="D146">
        <v>-1.03258455894226</v>
      </c>
      <c r="E146">
        <v>0.30850085891558399</v>
      </c>
      <c r="F146">
        <v>38</v>
      </c>
      <c r="G146" t="str">
        <f>VLOOKUP(A146,[1]inrix_key!$A:$C,3,FALSE)</f>
        <v>EB_W</v>
      </c>
      <c r="H146">
        <f t="shared" si="2"/>
        <v>-0.55818922305764396</v>
      </c>
    </row>
    <row r="147" spans="1:8" x14ac:dyDescent="0.25">
      <c r="A147">
        <v>1187612015</v>
      </c>
      <c r="B147" t="s">
        <v>20</v>
      </c>
      <c r="C147">
        <v>-2.13690476190475E-3</v>
      </c>
      <c r="D147">
        <v>-0.35217916821377399</v>
      </c>
      <c r="E147">
        <v>0.726702011602675</v>
      </c>
      <c r="F147">
        <v>38</v>
      </c>
      <c r="G147" t="str">
        <f>VLOOKUP(A147,[1]inrix_key!$A:$C,3,FALSE)</f>
        <v>Chinden_W</v>
      </c>
      <c r="H147">
        <f t="shared" si="2"/>
        <v>-0.128214285714285</v>
      </c>
    </row>
    <row r="148" spans="1:8" x14ac:dyDescent="0.25">
      <c r="A148">
        <v>1187635580</v>
      </c>
      <c r="B148" t="s">
        <v>20</v>
      </c>
      <c r="C148">
        <v>-1.8416979949874599E-2</v>
      </c>
      <c r="D148">
        <v>-2.2512901897932198</v>
      </c>
      <c r="E148">
        <v>3.0393836919712099E-2</v>
      </c>
      <c r="F148">
        <v>38</v>
      </c>
      <c r="G148" t="str">
        <f>VLOOKUP(A148,[1]inrix_key!$A:$C,3,FALSE)</f>
        <v>WB_S</v>
      </c>
      <c r="H148">
        <f t="shared" si="2"/>
        <v>-1.1050187969924758</v>
      </c>
    </row>
    <row r="149" spans="1:8" x14ac:dyDescent="0.25">
      <c r="A149">
        <v>1187636735</v>
      </c>
      <c r="B149" t="s">
        <v>20</v>
      </c>
      <c r="C149">
        <v>-9.3624686716791902E-3</v>
      </c>
      <c r="D149">
        <v>-1.8453544585050501</v>
      </c>
      <c r="E149">
        <v>7.3000732214740904E-2</v>
      </c>
      <c r="F149">
        <v>38</v>
      </c>
      <c r="G149" t="str">
        <f>VLOOKUP(A149,[1]inrix_key!$A:$C,3,FALSE)</f>
        <v>WB_E</v>
      </c>
      <c r="H149">
        <f t="shared" si="2"/>
        <v>-0.56174812030075139</v>
      </c>
    </row>
    <row r="150" spans="1:8" x14ac:dyDescent="0.25">
      <c r="A150">
        <v>1187654588</v>
      </c>
      <c r="B150" t="s">
        <v>20</v>
      </c>
      <c r="C150">
        <v>1.53806390977443E-2</v>
      </c>
      <c r="D150">
        <v>1.5143137007284599</v>
      </c>
      <c r="E150">
        <v>0.138442916998881</v>
      </c>
      <c r="F150">
        <v>38</v>
      </c>
      <c r="G150" t="str">
        <f>VLOOKUP(A150,[1]inrix_key!$A:$C,3,FALSE)</f>
        <v>Franklin_N</v>
      </c>
      <c r="H150">
        <f t="shared" si="2"/>
        <v>0.92283834586465807</v>
      </c>
    </row>
    <row r="151" spans="1:8" x14ac:dyDescent="0.25">
      <c r="A151">
        <v>1187654609</v>
      </c>
      <c r="B151" t="s">
        <v>20</v>
      </c>
      <c r="C151">
        <v>2.7049916457811099E-3</v>
      </c>
      <c r="D151">
        <v>0.37449730092424299</v>
      </c>
      <c r="E151">
        <v>0.71017223658708595</v>
      </c>
      <c r="F151">
        <v>38</v>
      </c>
      <c r="G151" t="str">
        <f>VLOOKUP(A151,[1]inrix_key!$A:$C,3,FALSE)</f>
        <v>Pine_N</v>
      </c>
      <c r="H151">
        <f t="shared" si="2"/>
        <v>0.16229949874686658</v>
      </c>
    </row>
    <row r="152" spans="1:8" x14ac:dyDescent="0.25">
      <c r="A152">
        <v>117503882</v>
      </c>
      <c r="B152" t="s">
        <v>19</v>
      </c>
      <c r="C152">
        <v>1.20545634920635E-2</v>
      </c>
      <c r="D152">
        <v>0.68326707103287199</v>
      </c>
      <c r="E152">
        <v>0.51640805780619403</v>
      </c>
      <c r="F152">
        <v>8</v>
      </c>
      <c r="G152" t="str">
        <f>VLOOKUP(A152,[1]inrix_key!$A:$C,3,FALSE)</f>
        <v>Franklin_E</v>
      </c>
      <c r="H152">
        <f t="shared" si="2"/>
        <v>0.72327380952381004</v>
      </c>
    </row>
    <row r="153" spans="1:8" x14ac:dyDescent="0.25">
      <c r="A153">
        <v>117772024</v>
      </c>
      <c r="B153" t="s">
        <v>19</v>
      </c>
      <c r="C153">
        <v>7.2078373015873097E-3</v>
      </c>
      <c r="D153">
        <v>0.664798578366815</v>
      </c>
      <c r="E153">
        <v>0.52746588805507</v>
      </c>
      <c r="F153">
        <v>8</v>
      </c>
      <c r="G153" t="str">
        <f>VLOOKUP(A153,[1]inrix_key!$A:$C,3,FALSE)</f>
        <v>IslandWood_W</v>
      </c>
      <c r="H153">
        <f t="shared" si="2"/>
        <v>0.4324702380952386</v>
      </c>
    </row>
    <row r="154" spans="1:8" x14ac:dyDescent="0.25">
      <c r="A154">
        <v>119241469</v>
      </c>
      <c r="B154" t="s">
        <v>19</v>
      </c>
      <c r="C154">
        <v>-7.2043650793650799E-2</v>
      </c>
      <c r="D154">
        <v>-6.1241615750810903</v>
      </c>
      <c r="E154">
        <v>4.7954320133667202E-4</v>
      </c>
      <c r="F154">
        <v>8</v>
      </c>
      <c r="G154" t="str">
        <f>VLOOKUP(A154,[1]inrix_key!$A:$C,3,FALSE)</f>
        <v>Colchester_W</v>
      </c>
      <c r="H154">
        <f t="shared" si="2"/>
        <v>-4.3226190476190478</v>
      </c>
    </row>
    <row r="155" spans="1:8" x14ac:dyDescent="0.25">
      <c r="A155">
        <v>119269713</v>
      </c>
      <c r="B155" t="s">
        <v>19</v>
      </c>
      <c r="C155">
        <v>6.5891369047618997E-2</v>
      </c>
      <c r="D155">
        <v>3.1130759186647898</v>
      </c>
      <c r="E155">
        <v>1.7007778804898298E-2</v>
      </c>
      <c r="F155">
        <v>8</v>
      </c>
      <c r="G155" t="str">
        <f>VLOOKUP(A155,[1]inrix_key!$A:$C,3,FALSE)</f>
        <v>Colchester_E</v>
      </c>
      <c r="H155">
        <f t="shared" si="2"/>
        <v>3.9534821428571396</v>
      </c>
    </row>
    <row r="156" spans="1:8" x14ac:dyDescent="0.25">
      <c r="A156">
        <v>119501618</v>
      </c>
      <c r="B156" t="s">
        <v>19</v>
      </c>
      <c r="C156">
        <v>7.1145833333333297E-2</v>
      </c>
      <c r="D156">
        <v>4.94423591205243</v>
      </c>
      <c r="E156">
        <v>1.6671099734390799E-3</v>
      </c>
      <c r="F156">
        <v>8</v>
      </c>
      <c r="G156" t="str">
        <f>VLOOKUP(A156,[1]inrix_key!$A:$C,3,FALSE)</f>
        <v>McMillan_N</v>
      </c>
      <c r="H156">
        <f t="shared" si="2"/>
        <v>4.268749999999998</v>
      </c>
    </row>
    <row r="157" spans="1:8" x14ac:dyDescent="0.25">
      <c r="A157">
        <v>384121516</v>
      </c>
      <c r="B157" t="s">
        <v>19</v>
      </c>
      <c r="C157">
        <v>-6.0416666666667004E-3</v>
      </c>
      <c r="D157">
        <v>-0.58785125680164596</v>
      </c>
      <c r="E157">
        <v>0.57509779905463398</v>
      </c>
      <c r="F157">
        <v>8</v>
      </c>
      <c r="G157" t="str">
        <f>VLOOKUP(A157,[1]inrix_key!$A:$C,3,FALSE)</f>
        <v>McMillan_W</v>
      </c>
      <c r="H157">
        <f t="shared" si="2"/>
        <v>-0.36250000000000204</v>
      </c>
    </row>
    <row r="158" spans="1:8" x14ac:dyDescent="0.25">
      <c r="A158">
        <v>384139881</v>
      </c>
      <c r="B158" t="s">
        <v>19</v>
      </c>
      <c r="C158">
        <v>9.1249999999999998E-2</v>
      </c>
      <c r="D158">
        <v>4.3236101187814002</v>
      </c>
      <c r="E158">
        <v>3.46483699079145E-3</v>
      </c>
      <c r="F158">
        <v>8</v>
      </c>
      <c r="G158" t="str">
        <f>VLOOKUP(A158,[1]inrix_key!$A:$C,3,FALSE)</f>
        <v>Pine_W</v>
      </c>
      <c r="H158">
        <f t="shared" si="2"/>
        <v>5.4749999999999996</v>
      </c>
    </row>
    <row r="159" spans="1:8" x14ac:dyDescent="0.25">
      <c r="A159">
        <v>428958433</v>
      </c>
      <c r="B159" t="s">
        <v>19</v>
      </c>
      <c r="C159">
        <v>-1.0726686507936499E-2</v>
      </c>
      <c r="D159">
        <v>-4.3228616387008403</v>
      </c>
      <c r="E159">
        <v>3.4680136613307599E-3</v>
      </c>
      <c r="F159">
        <v>8</v>
      </c>
      <c r="G159" t="str">
        <f>VLOOKUP(A159,[1]inrix_key!$A:$C,3,FALSE)</f>
        <v>EB_S</v>
      </c>
      <c r="H159">
        <f t="shared" si="2"/>
        <v>-0.64360119047618991</v>
      </c>
    </row>
    <row r="160" spans="1:8" x14ac:dyDescent="0.25">
      <c r="A160">
        <v>428958434</v>
      </c>
      <c r="B160" t="s">
        <v>19</v>
      </c>
      <c r="C160">
        <v>-3.3298611111111098E-2</v>
      </c>
      <c r="D160">
        <v>-3.58614498428522</v>
      </c>
      <c r="E160">
        <v>8.9028183174391599E-3</v>
      </c>
      <c r="F160">
        <v>8</v>
      </c>
      <c r="G160">
        <f>VLOOKUP(A160,[1]inrix_key!$A:$C,3,FALSE)</f>
        <v>0</v>
      </c>
      <c r="H160">
        <f t="shared" si="2"/>
        <v>-1.9979166666666659</v>
      </c>
    </row>
    <row r="161" spans="1:8" x14ac:dyDescent="0.25">
      <c r="A161">
        <v>428958435</v>
      </c>
      <c r="B161" t="s">
        <v>19</v>
      </c>
      <c r="C161">
        <v>-3.52083333333333E-2</v>
      </c>
      <c r="D161">
        <v>-3.6303699751377398</v>
      </c>
      <c r="E161">
        <v>8.3937172498934794E-3</v>
      </c>
      <c r="F161">
        <v>8</v>
      </c>
      <c r="G161">
        <f>VLOOKUP(A161,[1]inrix_key!$A:$C,3,FALSE)</f>
        <v>0</v>
      </c>
      <c r="H161">
        <f t="shared" si="2"/>
        <v>-2.112499999999998</v>
      </c>
    </row>
    <row r="162" spans="1:8" x14ac:dyDescent="0.25">
      <c r="A162">
        <v>448694747</v>
      </c>
      <c r="B162" t="s">
        <v>19</v>
      </c>
      <c r="C162">
        <v>-1.63715277777777E-2</v>
      </c>
      <c r="D162">
        <v>-1.58473327111858</v>
      </c>
      <c r="E162">
        <v>0.15704542294061399</v>
      </c>
      <c r="F162">
        <v>8</v>
      </c>
      <c r="G162" t="str">
        <f>VLOOKUP(A162,[1]inrix_key!$A:$C,3,FALSE)</f>
        <v>Fairview_W</v>
      </c>
      <c r="H162">
        <f t="shared" si="2"/>
        <v>-0.98229166666666201</v>
      </c>
    </row>
    <row r="163" spans="1:8" x14ac:dyDescent="0.25">
      <c r="A163">
        <v>448694757</v>
      </c>
      <c r="B163" t="s">
        <v>19</v>
      </c>
      <c r="C163">
        <v>-1.4548611111111101E-2</v>
      </c>
      <c r="D163">
        <v>-0.98076988259555598</v>
      </c>
      <c r="E163">
        <v>0.35937975611886103</v>
      </c>
      <c r="F163">
        <v>8</v>
      </c>
      <c r="G163" t="str">
        <f>VLOOKUP(A163,[1]inrix_key!$A:$C,3,FALSE)</f>
        <v>Ustick_W</v>
      </c>
      <c r="H163">
        <f t="shared" si="2"/>
        <v>-0.87291666666666601</v>
      </c>
    </row>
    <row r="164" spans="1:8" x14ac:dyDescent="0.25">
      <c r="A164">
        <v>448695751</v>
      </c>
      <c r="B164" t="s">
        <v>19</v>
      </c>
      <c r="C164">
        <v>1.0885416666666601E-2</v>
      </c>
      <c r="D164">
        <v>2.4073120785804898</v>
      </c>
      <c r="E164">
        <v>4.6959017405067298E-2</v>
      </c>
      <c r="F164">
        <v>8</v>
      </c>
      <c r="G164" t="str">
        <f>VLOOKUP(A164,[1]inrix_key!$A:$C,3,FALSE)</f>
        <v>Riverside_N</v>
      </c>
      <c r="H164">
        <f t="shared" si="2"/>
        <v>0.65312499999999607</v>
      </c>
    </row>
    <row r="165" spans="1:8" x14ac:dyDescent="0.25">
      <c r="A165">
        <v>448695752</v>
      </c>
      <c r="B165" t="s">
        <v>19</v>
      </c>
      <c r="C165">
        <v>6.7361111111111103E-3</v>
      </c>
      <c r="D165">
        <v>1.24859852317174</v>
      </c>
      <c r="E165">
        <v>0.251950302017518</v>
      </c>
      <c r="F165">
        <v>8</v>
      </c>
      <c r="G165" t="str">
        <f>VLOOKUP(A165,[1]inrix_key!$A:$C,3,FALSE)</f>
        <v>IslandWood_N</v>
      </c>
      <c r="H165">
        <f t="shared" si="2"/>
        <v>0.40416666666666662</v>
      </c>
    </row>
    <row r="166" spans="1:8" x14ac:dyDescent="0.25">
      <c r="A166">
        <v>448695753</v>
      </c>
      <c r="B166" t="s">
        <v>19</v>
      </c>
      <c r="C166">
        <v>-8.8888888888888906E-3</v>
      </c>
      <c r="D166">
        <v>-1.2805946999123601</v>
      </c>
      <c r="E166">
        <v>0.241132151565773</v>
      </c>
      <c r="F166">
        <v>8</v>
      </c>
      <c r="G166" t="str">
        <f>VLOOKUP(A166,[1]inrix_key!$A:$C,3,FALSE)</f>
        <v>Riverside_S</v>
      </c>
      <c r="H166">
        <f t="shared" si="2"/>
        <v>-0.53333333333333344</v>
      </c>
    </row>
    <row r="167" spans="1:8" x14ac:dyDescent="0.25">
      <c r="A167">
        <v>448695754</v>
      </c>
      <c r="B167" t="s">
        <v>19</v>
      </c>
      <c r="C167">
        <v>-2.03993055555555E-2</v>
      </c>
      <c r="D167">
        <v>-7.1118142786204697</v>
      </c>
      <c r="E167">
        <v>1.9166377553651501E-4</v>
      </c>
      <c r="F167">
        <v>8</v>
      </c>
      <c r="G167" t="str">
        <f>VLOOKUP(A167,[1]inrix_key!$A:$C,3,FALSE)</f>
        <v>State_S</v>
      </c>
      <c r="H167">
        <f t="shared" si="2"/>
        <v>-1.2239583333333299</v>
      </c>
    </row>
    <row r="168" spans="1:8" x14ac:dyDescent="0.25">
      <c r="A168">
        <v>448697006</v>
      </c>
      <c r="B168" t="s">
        <v>19</v>
      </c>
      <c r="C168">
        <v>-3.0034722222222099E-3</v>
      </c>
      <c r="D168">
        <v>-0.240102138968565</v>
      </c>
      <c r="E168">
        <v>0.81713073661840496</v>
      </c>
      <c r="F168">
        <v>8</v>
      </c>
      <c r="G168" t="str">
        <f>VLOOKUP(A168,[1]inrix_key!$A:$C,3,FALSE)</f>
        <v>StLukes_N</v>
      </c>
      <c r="H168">
        <f t="shared" si="2"/>
        <v>-0.18020833333333258</v>
      </c>
    </row>
    <row r="169" spans="1:8" x14ac:dyDescent="0.25">
      <c r="A169">
        <v>448697007</v>
      </c>
      <c r="B169" t="s">
        <v>19</v>
      </c>
      <c r="C169">
        <v>4.2534722222222201E-3</v>
      </c>
      <c r="D169">
        <v>0.48055437497300502</v>
      </c>
      <c r="E169">
        <v>0.64548830732688001</v>
      </c>
      <c r="F169">
        <v>8</v>
      </c>
      <c r="G169" t="str">
        <f>VLOOKUP(A169,[1]inrix_key!$A:$C,3,FALSE)</f>
        <v>WB_N</v>
      </c>
      <c r="H169">
        <f t="shared" si="2"/>
        <v>0.2552083333333332</v>
      </c>
    </row>
    <row r="170" spans="1:8" x14ac:dyDescent="0.25">
      <c r="A170">
        <v>448697008</v>
      </c>
      <c r="B170" t="s">
        <v>19</v>
      </c>
      <c r="C170">
        <v>-2.4270833333333301E-2</v>
      </c>
      <c r="D170">
        <v>-1.68286949633493</v>
      </c>
      <c r="E170">
        <v>0.13627836816730399</v>
      </c>
      <c r="F170">
        <v>8</v>
      </c>
      <c r="G170" t="str">
        <f>VLOOKUP(A170,[1]inrix_key!$A:$C,3,FALSE)</f>
        <v>RiverValley_S</v>
      </c>
      <c r="H170">
        <f t="shared" si="2"/>
        <v>-1.456249999999998</v>
      </c>
    </row>
    <row r="171" spans="1:8" x14ac:dyDescent="0.25">
      <c r="A171">
        <v>448697009</v>
      </c>
      <c r="B171" t="s">
        <v>19</v>
      </c>
      <c r="C171">
        <v>-0.152708333333333</v>
      </c>
      <c r="D171">
        <v>-5.5889488178189497</v>
      </c>
      <c r="E171">
        <v>8.2544753154790897E-4</v>
      </c>
      <c r="F171">
        <v>8</v>
      </c>
      <c r="G171" t="str">
        <f>VLOOKUP(A171,[1]inrix_key!$A:$C,3,FALSE)</f>
        <v>Ustick_S</v>
      </c>
      <c r="H171">
        <f t="shared" si="2"/>
        <v>-9.1624999999999801</v>
      </c>
    </row>
    <row r="172" spans="1:8" x14ac:dyDescent="0.25">
      <c r="A172">
        <v>448697010</v>
      </c>
      <c r="B172" t="s">
        <v>19</v>
      </c>
      <c r="C172">
        <v>-1.1458333333333099E-3</v>
      </c>
      <c r="D172">
        <v>-0.18714861490457901</v>
      </c>
      <c r="E172">
        <v>0.85685295270147399</v>
      </c>
      <c r="F172">
        <v>8</v>
      </c>
      <c r="G172" t="str">
        <f>VLOOKUP(A172,[1]inrix_key!$A:$C,3,FALSE)</f>
        <v>RiverValley_N</v>
      </c>
      <c r="H172">
        <f t="shared" si="2"/>
        <v>-6.874999999999859E-2</v>
      </c>
    </row>
    <row r="173" spans="1:8" x14ac:dyDescent="0.25">
      <c r="A173">
        <v>448697011</v>
      </c>
      <c r="B173" t="s">
        <v>19</v>
      </c>
      <c r="C173">
        <v>4.3159722222222197E-2</v>
      </c>
      <c r="D173">
        <v>3.3282934408890799</v>
      </c>
      <c r="E173">
        <v>1.26205785786121E-2</v>
      </c>
      <c r="F173">
        <v>8</v>
      </c>
      <c r="G173" t="str">
        <f>VLOOKUP(A173,[1]inrix_key!$A:$C,3,FALSE)</f>
        <v>Fairview_N</v>
      </c>
      <c r="H173">
        <f t="shared" si="2"/>
        <v>2.5895833333333318</v>
      </c>
    </row>
    <row r="174" spans="1:8" x14ac:dyDescent="0.25">
      <c r="A174">
        <v>448725595</v>
      </c>
      <c r="B174" t="s">
        <v>19</v>
      </c>
      <c r="C174">
        <v>1.5190972222222199E-2</v>
      </c>
      <c r="D174">
        <v>1.8857264382735399</v>
      </c>
      <c r="E174">
        <v>0.10130974152983099</v>
      </c>
      <c r="F174">
        <v>8</v>
      </c>
      <c r="G174" t="str">
        <f>VLOOKUP(A174,[1]inrix_key!$A:$C,3,FALSE)</f>
        <v>StLukes_S</v>
      </c>
      <c r="H174">
        <f t="shared" si="2"/>
        <v>0.91145833333333193</v>
      </c>
    </row>
    <row r="175" spans="1:8" x14ac:dyDescent="0.25">
      <c r="A175">
        <v>448725596</v>
      </c>
      <c r="B175" t="s">
        <v>19</v>
      </c>
      <c r="C175">
        <v>2.6493055555555499E-2</v>
      </c>
      <c r="D175">
        <v>5.5477653676721896</v>
      </c>
      <c r="E175">
        <v>8.6194024008131697E-4</v>
      </c>
      <c r="F175">
        <v>8</v>
      </c>
      <c r="G175" t="str">
        <f>VLOOKUP(A175,[1]inrix_key!$A:$C,3,FALSE)</f>
        <v>Franklin_S</v>
      </c>
      <c r="H175">
        <f t="shared" si="2"/>
        <v>1.58958333333333</v>
      </c>
    </row>
    <row r="176" spans="1:8" x14ac:dyDescent="0.25">
      <c r="A176">
        <v>448725597</v>
      </c>
      <c r="B176" t="s">
        <v>19</v>
      </c>
      <c r="C176">
        <v>-5.8898313492063398E-2</v>
      </c>
      <c r="D176">
        <v>-5.0625789443423699</v>
      </c>
      <c r="E176">
        <v>1.4591413298055201E-3</v>
      </c>
      <c r="F176">
        <v>8</v>
      </c>
      <c r="G176" t="str">
        <f>VLOOKUP(A176,[1]inrix_key!$A:$C,3,FALSE)</f>
        <v>Ustick_E</v>
      </c>
      <c r="H176">
        <f t="shared" si="2"/>
        <v>-3.5338988095238038</v>
      </c>
    </row>
    <row r="177" spans="1:8" x14ac:dyDescent="0.25">
      <c r="A177">
        <v>448725599</v>
      </c>
      <c r="B177" t="s">
        <v>19</v>
      </c>
      <c r="C177">
        <v>-7.8107638888888803E-2</v>
      </c>
      <c r="D177">
        <v>-3.7922058303905599</v>
      </c>
      <c r="E177">
        <v>6.78335591488339E-3</v>
      </c>
      <c r="F177">
        <v>8</v>
      </c>
      <c r="G177" t="str">
        <f>VLOOKUP(A177,[1]inrix_key!$A:$C,3,FALSE)</f>
        <v>Chinden_S</v>
      </c>
      <c r="H177">
        <f t="shared" si="2"/>
        <v>-4.6864583333333281</v>
      </c>
    </row>
    <row r="178" spans="1:8" x14ac:dyDescent="0.25">
      <c r="A178">
        <v>474871675</v>
      </c>
      <c r="B178" t="s">
        <v>19</v>
      </c>
      <c r="C178">
        <v>-1.0183531746031701E-2</v>
      </c>
      <c r="D178">
        <v>-0.65282537941699303</v>
      </c>
      <c r="E178">
        <v>0.53471332236764402</v>
      </c>
      <c r="F178">
        <v>8</v>
      </c>
      <c r="G178" t="str">
        <f>VLOOKUP(A178,[1]inrix_key!$A:$C,3,FALSE)</f>
        <v>McMillan_E</v>
      </c>
      <c r="H178">
        <f t="shared" si="2"/>
        <v>-0.61101190476190204</v>
      </c>
    </row>
    <row r="179" spans="1:8" x14ac:dyDescent="0.25">
      <c r="A179">
        <v>484347992</v>
      </c>
      <c r="B179" t="s">
        <v>19</v>
      </c>
      <c r="C179">
        <v>-6.00907029478458E-4</v>
      </c>
      <c r="D179">
        <v>-0.60299992186117501</v>
      </c>
      <c r="E179">
        <v>0.56858544094530605</v>
      </c>
      <c r="F179">
        <v>7</v>
      </c>
      <c r="G179">
        <f>VLOOKUP(A179,[1]inrix_key!$A:$C,3,FALSE)</f>
        <v>0</v>
      </c>
      <c r="H179">
        <f t="shared" si="2"/>
        <v>-3.6054421768707483E-2</v>
      </c>
    </row>
    <row r="180" spans="1:8" x14ac:dyDescent="0.25">
      <c r="A180">
        <v>484366819</v>
      </c>
      <c r="B180" t="s">
        <v>19</v>
      </c>
      <c r="C180">
        <v>1.7124999999999901E-2</v>
      </c>
      <c r="D180">
        <v>2.0102350316283402</v>
      </c>
      <c r="E180">
        <v>8.4336521124220298E-2</v>
      </c>
      <c r="F180">
        <v>8</v>
      </c>
      <c r="G180" t="str">
        <f>VLOOKUP(A180,[1]inrix_key!$A:$C,3,FALSE)</f>
        <v>Pine_E</v>
      </c>
      <c r="H180">
        <f t="shared" si="2"/>
        <v>1.0274999999999941</v>
      </c>
    </row>
    <row r="181" spans="1:8" x14ac:dyDescent="0.25">
      <c r="A181">
        <v>484371307</v>
      </c>
      <c r="B181" t="s">
        <v>19</v>
      </c>
      <c r="C181">
        <v>-1.32023809523809E-2</v>
      </c>
      <c r="D181">
        <v>-4.8036780336495797</v>
      </c>
      <c r="E181">
        <v>1.9579571888173001E-3</v>
      </c>
      <c r="F181">
        <v>8</v>
      </c>
      <c r="G181" t="str">
        <f>VLOOKUP(A181,[1]inrix_key!$A:$C,3,FALSE)</f>
        <v>Pine_E</v>
      </c>
      <c r="H181">
        <f t="shared" si="2"/>
        <v>-0.79214285714285393</v>
      </c>
    </row>
    <row r="182" spans="1:8" x14ac:dyDescent="0.25">
      <c r="A182">
        <v>1187327938</v>
      </c>
      <c r="B182" t="s">
        <v>19</v>
      </c>
      <c r="C182">
        <v>-5.7862103174602898E-3</v>
      </c>
      <c r="D182">
        <v>-0.43369735996449699</v>
      </c>
      <c r="E182">
        <v>0.67756023839527402</v>
      </c>
      <c r="F182">
        <v>8</v>
      </c>
      <c r="G182" t="str">
        <f>VLOOKUP(A182,[1]inrix_key!$A:$C,3,FALSE)</f>
        <v>Franklin_W</v>
      </c>
      <c r="H182">
        <f t="shared" si="2"/>
        <v>-0.34717261904761737</v>
      </c>
    </row>
    <row r="183" spans="1:8" x14ac:dyDescent="0.25">
      <c r="A183">
        <v>1187333605</v>
      </c>
      <c r="B183" t="s">
        <v>19</v>
      </c>
      <c r="C183">
        <v>2.6614583333333299E-2</v>
      </c>
      <c r="D183">
        <v>3.3646553438790701</v>
      </c>
      <c r="E183">
        <v>1.2007671884156201E-2</v>
      </c>
      <c r="F183">
        <v>8</v>
      </c>
      <c r="G183" t="str">
        <f>VLOOKUP(A183,[1]inrix_key!$A:$C,3,FALSE)</f>
        <v>Colchester_N</v>
      </c>
      <c r="H183">
        <f t="shared" si="2"/>
        <v>1.596874999999998</v>
      </c>
    </row>
    <row r="184" spans="1:8" x14ac:dyDescent="0.25">
      <c r="A184">
        <v>1187333665</v>
      </c>
      <c r="B184" t="s">
        <v>19</v>
      </c>
      <c r="C184">
        <v>-0.118003472222222</v>
      </c>
      <c r="D184">
        <v>-3.1553659084614099</v>
      </c>
      <c r="E184">
        <v>1.60315843722534E-2</v>
      </c>
      <c r="F184">
        <v>8</v>
      </c>
      <c r="G184" t="str">
        <f>VLOOKUP(A184,[1]inrix_key!$A:$C,3,FALSE)</f>
        <v>Chinden_N</v>
      </c>
      <c r="H184">
        <f t="shared" si="2"/>
        <v>-7.0802083333333199</v>
      </c>
    </row>
    <row r="185" spans="1:8" x14ac:dyDescent="0.25">
      <c r="A185">
        <v>1187334983</v>
      </c>
      <c r="B185" t="s">
        <v>19</v>
      </c>
      <c r="C185">
        <v>2.1388888888888801E-2</v>
      </c>
      <c r="D185">
        <v>2.8300982782891801</v>
      </c>
      <c r="E185">
        <v>2.5402611183717099E-2</v>
      </c>
      <c r="F185">
        <v>8</v>
      </c>
      <c r="G185" t="str">
        <f>VLOOKUP(A185,[1]inrix_key!$A:$C,3,FALSE)</f>
        <v>Wainwright_N</v>
      </c>
      <c r="H185">
        <f t="shared" si="2"/>
        <v>1.2833333333333281</v>
      </c>
    </row>
    <row r="186" spans="1:8" x14ac:dyDescent="0.25">
      <c r="A186">
        <v>1187335042</v>
      </c>
      <c r="B186" t="s">
        <v>19</v>
      </c>
      <c r="C186">
        <v>-0.22168402777777699</v>
      </c>
      <c r="D186">
        <v>-9.9318004629568097</v>
      </c>
      <c r="E186" s="1">
        <v>2.23810758003335E-5</v>
      </c>
      <c r="F186">
        <v>8</v>
      </c>
      <c r="G186" t="str">
        <f>VLOOKUP(A186,[1]inrix_key!$A:$C,3,FALSE)</f>
        <v>Ustick_N</v>
      </c>
      <c r="H186">
        <f t="shared" si="2"/>
        <v>-13.301041666666618</v>
      </c>
    </row>
    <row r="187" spans="1:8" x14ac:dyDescent="0.25">
      <c r="A187">
        <v>1187377510</v>
      </c>
      <c r="B187" t="s">
        <v>19</v>
      </c>
      <c r="C187">
        <v>-6.1101190476190399E-2</v>
      </c>
      <c r="D187">
        <v>-4.6500569564743204</v>
      </c>
      <c r="E187">
        <v>2.34171708618542E-3</v>
      </c>
      <c r="F187">
        <v>8</v>
      </c>
      <c r="G187" t="str">
        <f>VLOOKUP(A187,[1]inrix_key!$A:$C,3,FALSE)</f>
        <v>EB_S</v>
      </c>
      <c r="H187">
        <f t="shared" si="2"/>
        <v>-3.6660714285714238</v>
      </c>
    </row>
    <row r="188" spans="1:8" x14ac:dyDescent="0.25">
      <c r="A188">
        <v>1187466896</v>
      </c>
      <c r="B188" t="s">
        <v>19</v>
      </c>
      <c r="C188">
        <v>5.0399305555555503E-2</v>
      </c>
      <c r="D188">
        <v>7.8747472358986998</v>
      </c>
      <c r="E188">
        <v>1.00798177992169E-4</v>
      </c>
      <c r="F188">
        <v>8</v>
      </c>
      <c r="G188" t="str">
        <f>VLOOKUP(A188,[1]inrix_key!$A:$C,3,FALSE)</f>
        <v>IslandWood_S</v>
      </c>
      <c r="H188">
        <f t="shared" si="2"/>
        <v>3.0239583333333302</v>
      </c>
    </row>
    <row r="189" spans="1:8" x14ac:dyDescent="0.25">
      <c r="A189">
        <v>1187466917</v>
      </c>
      <c r="B189" t="s">
        <v>19</v>
      </c>
      <c r="C189">
        <v>6.7291666666666597E-2</v>
      </c>
      <c r="D189">
        <v>6.9865044872307198</v>
      </c>
      <c r="E189">
        <v>2.1410899813480199E-4</v>
      </c>
      <c r="F189">
        <v>8</v>
      </c>
      <c r="G189" t="str">
        <f>VLOOKUP(A189,[1]inrix_key!$A:$C,3,FALSE)</f>
        <v>Colchester_S</v>
      </c>
      <c r="H189">
        <f t="shared" si="2"/>
        <v>4.0374999999999961</v>
      </c>
    </row>
    <row r="190" spans="1:8" x14ac:dyDescent="0.25">
      <c r="A190">
        <v>1187517040</v>
      </c>
      <c r="B190" t="s">
        <v>19</v>
      </c>
      <c r="C190">
        <v>-1.3107638888888801E-2</v>
      </c>
      <c r="D190">
        <v>-2.67426332585049</v>
      </c>
      <c r="E190">
        <v>3.1802542529270103E-2</v>
      </c>
      <c r="F190">
        <v>8</v>
      </c>
      <c r="G190" t="str">
        <f>VLOOKUP(A190,[1]inrix_key!$A:$C,3,FALSE)</f>
        <v>Wainwright_S</v>
      </c>
      <c r="H190">
        <f t="shared" si="2"/>
        <v>-0.78645833333332804</v>
      </c>
    </row>
    <row r="191" spans="1:8" x14ac:dyDescent="0.25">
      <c r="A191">
        <v>1187532837</v>
      </c>
      <c r="B191" t="s">
        <v>19</v>
      </c>
      <c r="C191">
        <v>-2.1180555555555601E-3</v>
      </c>
      <c r="D191">
        <v>-0.28387889182114701</v>
      </c>
      <c r="E191">
        <v>0.78471632569791006</v>
      </c>
      <c r="F191">
        <v>8</v>
      </c>
      <c r="G191" t="str">
        <f>VLOOKUP(A191,[1]inrix_key!$A:$C,3,FALSE)</f>
        <v>HobbleCreek_N</v>
      </c>
      <c r="H191">
        <f t="shared" si="2"/>
        <v>-0.1270833333333336</v>
      </c>
    </row>
    <row r="192" spans="1:8" x14ac:dyDescent="0.25">
      <c r="A192">
        <v>1187548947</v>
      </c>
      <c r="B192" t="s">
        <v>19</v>
      </c>
      <c r="C192">
        <v>3.4097222222222202E-2</v>
      </c>
      <c r="D192">
        <v>2.9147808287058199</v>
      </c>
      <c r="E192">
        <v>2.25067056013705E-2</v>
      </c>
      <c r="F192">
        <v>8</v>
      </c>
      <c r="G192" t="str">
        <f>VLOOKUP(A192,[1]inrix_key!$A:$C,3,FALSE)</f>
        <v>Fairview_S</v>
      </c>
      <c r="H192">
        <f t="shared" si="2"/>
        <v>2.0458333333333321</v>
      </c>
    </row>
    <row r="193" spans="1:8" x14ac:dyDescent="0.25">
      <c r="A193">
        <v>1187548975</v>
      </c>
      <c r="B193" t="s">
        <v>19</v>
      </c>
      <c r="C193">
        <v>6.3697916666666604E-2</v>
      </c>
      <c r="D193">
        <v>7.08155829698884</v>
      </c>
      <c r="E193">
        <v>1.96830036756935E-4</v>
      </c>
      <c r="F193">
        <v>8</v>
      </c>
      <c r="G193" t="str">
        <f>VLOOKUP(A193,[1]inrix_key!$A:$C,3,FALSE)</f>
        <v>Pine_S</v>
      </c>
      <c r="H193">
        <f t="shared" si="2"/>
        <v>3.8218749999999964</v>
      </c>
    </row>
    <row r="194" spans="1:8" x14ac:dyDescent="0.25">
      <c r="A194">
        <v>1187548987</v>
      </c>
      <c r="B194" t="s">
        <v>19</v>
      </c>
      <c r="C194">
        <v>-6.9965277777777803E-3</v>
      </c>
      <c r="D194">
        <v>-0.714760049257119</v>
      </c>
      <c r="E194">
        <v>0.49789521357105498</v>
      </c>
      <c r="F194">
        <v>8</v>
      </c>
      <c r="G194" t="str">
        <f>VLOOKUP(A194,[1]inrix_key!$A:$C,3,FALSE)</f>
        <v>McMillan_S</v>
      </c>
      <c r="H194">
        <f t="shared" ref="H194:H257" si="3">60*C194</f>
        <v>-0.41979166666666684</v>
      </c>
    </row>
    <row r="195" spans="1:8" x14ac:dyDescent="0.25">
      <c r="A195">
        <v>1187549053</v>
      </c>
      <c r="B195" t="s">
        <v>19</v>
      </c>
      <c r="C195">
        <v>1.8368055555555499E-2</v>
      </c>
      <c r="D195">
        <v>1.57270317042729</v>
      </c>
      <c r="E195">
        <v>0.15978479420695099</v>
      </c>
      <c r="F195">
        <v>8</v>
      </c>
      <c r="G195" t="str">
        <f>VLOOKUP(A195,[1]inrix_key!$A:$C,3,FALSE)</f>
        <v>HobbleCreek_S</v>
      </c>
      <c r="H195">
        <f t="shared" si="3"/>
        <v>1.10208333333333</v>
      </c>
    </row>
    <row r="196" spans="1:8" x14ac:dyDescent="0.25">
      <c r="A196">
        <v>1187577122</v>
      </c>
      <c r="B196" t="s">
        <v>19</v>
      </c>
      <c r="C196">
        <v>-1.3194444444444399E-2</v>
      </c>
      <c r="D196">
        <v>-1.5716670882277399</v>
      </c>
      <c r="E196">
        <v>0.16002277594074299</v>
      </c>
      <c r="F196">
        <v>8</v>
      </c>
      <c r="G196" t="str">
        <f>VLOOKUP(A196,[1]inrix_key!$A:$C,3,FALSE)</f>
        <v>Chinden_E</v>
      </c>
      <c r="H196">
        <f t="shared" si="3"/>
        <v>-0.79166666666666397</v>
      </c>
    </row>
    <row r="197" spans="1:8" x14ac:dyDescent="0.25">
      <c r="A197">
        <v>1187579027</v>
      </c>
      <c r="B197" t="s">
        <v>19</v>
      </c>
      <c r="C197">
        <v>-0.12578125000000001</v>
      </c>
      <c r="D197">
        <v>-8.9656121292373907</v>
      </c>
      <c r="E197" s="1">
        <v>4.3732182124957599E-5</v>
      </c>
      <c r="F197">
        <v>8</v>
      </c>
      <c r="G197" t="str">
        <f>VLOOKUP(A197,[1]inrix_key!$A:$C,3,FALSE)</f>
        <v>Fairview_E</v>
      </c>
      <c r="H197">
        <f t="shared" si="3"/>
        <v>-7.5468750000000009</v>
      </c>
    </row>
    <row r="198" spans="1:8" x14ac:dyDescent="0.25">
      <c r="A198">
        <v>1187586311</v>
      </c>
      <c r="B198" t="s">
        <v>19</v>
      </c>
      <c r="C198">
        <v>-5.22569444444442E-3</v>
      </c>
      <c r="D198">
        <v>-1.3555042439237299</v>
      </c>
      <c r="E198">
        <v>0.21736362212174901</v>
      </c>
      <c r="F198">
        <v>8</v>
      </c>
      <c r="G198" t="str">
        <f>VLOOKUP(A198,[1]inrix_key!$A:$C,3,FALSE)</f>
        <v>EB_W</v>
      </c>
      <c r="H198">
        <f t="shared" si="3"/>
        <v>-0.31354166666666522</v>
      </c>
    </row>
    <row r="199" spans="1:8" x14ac:dyDescent="0.25">
      <c r="A199">
        <v>1187612015</v>
      </c>
      <c r="B199" t="s">
        <v>19</v>
      </c>
      <c r="C199">
        <v>-2.9045138888888801E-2</v>
      </c>
      <c r="D199">
        <v>-0.76830979338181205</v>
      </c>
      <c r="E199">
        <v>0.46742630655164003</v>
      </c>
      <c r="F199">
        <v>8</v>
      </c>
      <c r="G199" t="str">
        <f>VLOOKUP(A199,[1]inrix_key!$A:$C,3,FALSE)</f>
        <v>Chinden_W</v>
      </c>
      <c r="H199">
        <f t="shared" si="3"/>
        <v>-1.742708333333328</v>
      </c>
    </row>
    <row r="200" spans="1:8" x14ac:dyDescent="0.25">
      <c r="A200">
        <v>1187635580</v>
      </c>
      <c r="B200" t="s">
        <v>19</v>
      </c>
      <c r="C200">
        <v>-9.4652777777777697E-2</v>
      </c>
      <c r="D200">
        <v>-9.42700500638915</v>
      </c>
      <c r="E200" s="1">
        <v>3.1523685380387599E-5</v>
      </c>
      <c r="F200">
        <v>8</v>
      </c>
      <c r="G200" t="str">
        <f>VLOOKUP(A200,[1]inrix_key!$A:$C,3,FALSE)</f>
        <v>WB_S</v>
      </c>
      <c r="H200">
        <f t="shared" si="3"/>
        <v>-5.6791666666666618</v>
      </c>
    </row>
    <row r="201" spans="1:8" x14ac:dyDescent="0.25">
      <c r="A201">
        <v>1187636735</v>
      </c>
      <c r="B201" t="s">
        <v>19</v>
      </c>
      <c r="C201">
        <v>-3.88888888888891E-3</v>
      </c>
      <c r="D201">
        <v>-0.85534285412361399</v>
      </c>
      <c r="E201">
        <v>0.42067054288726502</v>
      </c>
      <c r="F201">
        <v>8</v>
      </c>
      <c r="G201" t="str">
        <f>VLOOKUP(A201,[1]inrix_key!$A:$C,3,FALSE)</f>
        <v>WB_E</v>
      </c>
      <c r="H201">
        <f t="shared" si="3"/>
        <v>-0.23333333333333461</v>
      </c>
    </row>
    <row r="202" spans="1:8" x14ac:dyDescent="0.25">
      <c r="A202">
        <v>1187654588</v>
      </c>
      <c r="B202" t="s">
        <v>19</v>
      </c>
      <c r="C202">
        <v>2.42881944444443E-2</v>
      </c>
      <c r="D202">
        <v>1.91116371596207</v>
      </c>
      <c r="E202">
        <v>9.7590359118099101E-2</v>
      </c>
      <c r="F202">
        <v>8</v>
      </c>
      <c r="G202" t="str">
        <f>VLOOKUP(A202,[1]inrix_key!$A:$C,3,FALSE)</f>
        <v>Franklin_N</v>
      </c>
      <c r="H202">
        <f t="shared" si="3"/>
        <v>1.457291666666658</v>
      </c>
    </row>
    <row r="203" spans="1:8" x14ac:dyDescent="0.25">
      <c r="A203">
        <v>1187654609</v>
      </c>
      <c r="B203" t="s">
        <v>19</v>
      </c>
      <c r="C203">
        <v>4.5086805555555498E-2</v>
      </c>
      <c r="D203">
        <v>6.4999821877002404</v>
      </c>
      <c r="E203">
        <v>3.3413895978099398E-4</v>
      </c>
      <c r="F203">
        <v>8</v>
      </c>
      <c r="G203" t="str">
        <f>VLOOKUP(A203,[1]inrix_key!$A:$C,3,FALSE)</f>
        <v>Pine_N</v>
      </c>
      <c r="H203">
        <f t="shared" si="3"/>
        <v>2.7052083333333297</v>
      </c>
    </row>
    <row r="204" spans="1:8" x14ac:dyDescent="0.25">
      <c r="A204">
        <v>117503882</v>
      </c>
      <c r="B204" t="s">
        <v>18</v>
      </c>
      <c r="C204">
        <v>-1.5133333333333301E-2</v>
      </c>
      <c r="D204">
        <v>-0.50352340385140004</v>
      </c>
      <c r="E204">
        <v>0.64106140234687303</v>
      </c>
      <c r="F204">
        <v>5</v>
      </c>
      <c r="G204" t="str">
        <f>VLOOKUP(A204,[1]inrix_key!$A:$C,3,FALSE)</f>
        <v>Franklin_E</v>
      </c>
      <c r="H204">
        <f t="shared" si="3"/>
        <v>-0.90799999999999803</v>
      </c>
    </row>
    <row r="205" spans="1:8" x14ac:dyDescent="0.25">
      <c r="A205">
        <v>117772024</v>
      </c>
      <c r="B205" t="s">
        <v>18</v>
      </c>
      <c r="C205">
        <v>4.1111111111111098E-2</v>
      </c>
      <c r="D205">
        <v>0.393550217832908</v>
      </c>
      <c r="E205">
        <v>0.73190517361916896</v>
      </c>
      <c r="F205">
        <v>3</v>
      </c>
      <c r="G205" t="str">
        <f>VLOOKUP(A205,[1]inrix_key!$A:$C,3,FALSE)</f>
        <v>IslandWood_W</v>
      </c>
      <c r="H205">
        <f t="shared" si="3"/>
        <v>2.4666666666666659</v>
      </c>
    </row>
    <row r="206" spans="1:8" x14ac:dyDescent="0.25">
      <c r="A206">
        <v>119269713</v>
      </c>
      <c r="B206" t="s">
        <v>18</v>
      </c>
      <c r="C206">
        <v>-5.5E-2</v>
      </c>
      <c r="D206">
        <v>-1</v>
      </c>
      <c r="E206">
        <v>0.499999999999999</v>
      </c>
      <c r="F206">
        <v>2</v>
      </c>
      <c r="G206" t="str">
        <f>VLOOKUP(A206,[1]inrix_key!$A:$C,3,FALSE)</f>
        <v>Colchester_E</v>
      </c>
      <c r="H206">
        <f t="shared" si="3"/>
        <v>-3.3</v>
      </c>
    </row>
    <row r="207" spans="1:8" x14ac:dyDescent="0.25">
      <c r="A207">
        <v>119501618</v>
      </c>
      <c r="B207" t="s">
        <v>18</v>
      </c>
      <c r="C207">
        <v>0.13563492063492</v>
      </c>
      <c r="D207">
        <v>1.5238697032956601</v>
      </c>
      <c r="E207">
        <v>0.26701267177749699</v>
      </c>
      <c r="F207">
        <v>3</v>
      </c>
      <c r="G207" t="str">
        <f>VLOOKUP(A207,[1]inrix_key!$A:$C,3,FALSE)</f>
        <v>McMillan_N</v>
      </c>
      <c r="H207">
        <f t="shared" si="3"/>
        <v>8.1380952380952003</v>
      </c>
    </row>
    <row r="208" spans="1:8" x14ac:dyDescent="0.25">
      <c r="A208">
        <v>384139881</v>
      </c>
      <c r="B208" t="s">
        <v>18</v>
      </c>
      <c r="C208">
        <v>-1.5476190476190199E-3</v>
      </c>
      <c r="D208">
        <v>-1.9485364680355499E-2</v>
      </c>
      <c r="E208">
        <v>0.98567741562522704</v>
      </c>
      <c r="F208">
        <v>4</v>
      </c>
      <c r="G208" t="str">
        <f>VLOOKUP(A208,[1]inrix_key!$A:$C,3,FALSE)</f>
        <v>Pine_W</v>
      </c>
      <c r="H208">
        <f t="shared" si="3"/>
        <v>-9.2857142857141195E-2</v>
      </c>
    </row>
    <row r="209" spans="1:8" x14ac:dyDescent="0.25">
      <c r="A209">
        <v>428958434</v>
      </c>
      <c r="B209" t="s">
        <v>18</v>
      </c>
      <c r="C209">
        <v>-2.4735449735449702E-3</v>
      </c>
      <c r="D209">
        <v>-0.65017938233111805</v>
      </c>
      <c r="E209">
        <v>0.54426309961901997</v>
      </c>
      <c r="F209">
        <v>6</v>
      </c>
      <c r="G209">
        <f>VLOOKUP(A209,[1]inrix_key!$A:$C,3,FALSE)</f>
        <v>0</v>
      </c>
      <c r="H209">
        <f t="shared" si="3"/>
        <v>-0.14841269841269822</v>
      </c>
    </row>
    <row r="210" spans="1:8" x14ac:dyDescent="0.25">
      <c r="A210">
        <v>428958435</v>
      </c>
      <c r="B210" t="s">
        <v>18</v>
      </c>
      <c r="C210">
        <v>2.05820105820105E-2</v>
      </c>
      <c r="D210">
        <v>2.3916395045950201</v>
      </c>
      <c r="E210">
        <v>6.2261264655007399E-2</v>
      </c>
      <c r="F210">
        <v>6</v>
      </c>
      <c r="G210">
        <f>VLOOKUP(A210,[1]inrix_key!$A:$C,3,FALSE)</f>
        <v>0</v>
      </c>
      <c r="H210">
        <f t="shared" si="3"/>
        <v>1.2349206349206301</v>
      </c>
    </row>
    <row r="211" spans="1:8" x14ac:dyDescent="0.25">
      <c r="A211">
        <v>448694747</v>
      </c>
      <c r="B211" t="s">
        <v>18</v>
      </c>
      <c r="C211">
        <v>-0.103916666666666</v>
      </c>
      <c r="D211">
        <v>-2.51353571123876</v>
      </c>
      <c r="E211">
        <v>8.6667641279042196E-2</v>
      </c>
      <c r="F211">
        <v>4</v>
      </c>
      <c r="G211" t="str">
        <f>VLOOKUP(A211,[1]inrix_key!$A:$C,3,FALSE)</f>
        <v>Fairview_W</v>
      </c>
      <c r="H211">
        <f t="shared" si="3"/>
        <v>-6.2349999999999604</v>
      </c>
    </row>
    <row r="212" spans="1:8" x14ac:dyDescent="0.25">
      <c r="A212">
        <v>448694757</v>
      </c>
      <c r="B212" t="s">
        <v>18</v>
      </c>
      <c r="C212">
        <v>-6.7222222222222197E-2</v>
      </c>
      <c r="D212">
        <v>-1.9709349990540299</v>
      </c>
      <c r="E212">
        <v>0.187516799675634</v>
      </c>
      <c r="F212">
        <v>3</v>
      </c>
      <c r="G212" t="str">
        <f>VLOOKUP(A212,[1]inrix_key!$A:$C,3,FALSE)</f>
        <v>Ustick_W</v>
      </c>
      <c r="H212">
        <f t="shared" si="3"/>
        <v>-4.0333333333333314</v>
      </c>
    </row>
    <row r="213" spans="1:8" x14ac:dyDescent="0.25">
      <c r="A213">
        <v>448695751</v>
      </c>
      <c r="B213" t="s">
        <v>18</v>
      </c>
      <c r="C213">
        <v>8.3333333333333404E-4</v>
      </c>
      <c r="D213">
        <v>2.2570430888309401E-2</v>
      </c>
      <c r="E213">
        <v>0.98404232744192099</v>
      </c>
      <c r="F213">
        <v>3</v>
      </c>
      <c r="G213" t="str">
        <f>VLOOKUP(A213,[1]inrix_key!$A:$C,3,FALSE)</f>
        <v>Riverside_N</v>
      </c>
      <c r="H213">
        <f t="shared" si="3"/>
        <v>5.0000000000000044E-2</v>
      </c>
    </row>
    <row r="214" spans="1:8" x14ac:dyDescent="0.25">
      <c r="A214">
        <v>448695752</v>
      </c>
      <c r="B214" t="s">
        <v>18</v>
      </c>
      <c r="C214">
        <v>3.4027777777777699E-2</v>
      </c>
      <c r="D214">
        <v>2.6616287633303202</v>
      </c>
      <c r="E214">
        <v>0.11691497566587999</v>
      </c>
      <c r="F214">
        <v>3</v>
      </c>
      <c r="G214" t="str">
        <f>VLOOKUP(A214,[1]inrix_key!$A:$C,3,FALSE)</f>
        <v>IslandWood_N</v>
      </c>
      <c r="H214">
        <f t="shared" si="3"/>
        <v>2.0416666666666621</v>
      </c>
    </row>
    <row r="215" spans="1:8" x14ac:dyDescent="0.25">
      <c r="A215">
        <v>448695753</v>
      </c>
      <c r="B215" t="s">
        <v>18</v>
      </c>
      <c r="C215">
        <v>-1.81018518518518E-2</v>
      </c>
      <c r="D215">
        <v>-1.7399788469134301</v>
      </c>
      <c r="E215">
        <v>0.22399094453704099</v>
      </c>
      <c r="F215">
        <v>3</v>
      </c>
      <c r="G215" t="str">
        <f>VLOOKUP(A215,[1]inrix_key!$A:$C,3,FALSE)</f>
        <v>Riverside_S</v>
      </c>
      <c r="H215">
        <f t="shared" si="3"/>
        <v>-1.0861111111111079</v>
      </c>
    </row>
    <row r="216" spans="1:8" x14ac:dyDescent="0.25">
      <c r="A216">
        <v>448695754</v>
      </c>
      <c r="B216" t="s">
        <v>18</v>
      </c>
      <c r="C216">
        <v>-3.09722222222222E-2</v>
      </c>
      <c r="D216">
        <v>-1.69532328012663</v>
      </c>
      <c r="E216">
        <v>0.18858492606982299</v>
      </c>
      <c r="F216">
        <v>4</v>
      </c>
      <c r="G216" t="str">
        <f>VLOOKUP(A216,[1]inrix_key!$A:$C,3,FALSE)</f>
        <v>State_S</v>
      </c>
      <c r="H216">
        <f t="shared" si="3"/>
        <v>-1.8583333333333321</v>
      </c>
    </row>
    <row r="217" spans="1:8" x14ac:dyDescent="0.25">
      <c r="A217">
        <v>448697006</v>
      </c>
      <c r="B217" t="s">
        <v>18</v>
      </c>
      <c r="C217">
        <v>4.1309523809523803E-2</v>
      </c>
      <c r="D217">
        <v>1.2469476028965001</v>
      </c>
      <c r="E217">
        <v>0.30090121598751901</v>
      </c>
      <c r="F217">
        <v>4</v>
      </c>
      <c r="G217" t="str">
        <f>VLOOKUP(A217,[1]inrix_key!$A:$C,3,FALSE)</f>
        <v>StLukes_N</v>
      </c>
      <c r="H217">
        <f t="shared" si="3"/>
        <v>2.4785714285714282</v>
      </c>
    </row>
    <row r="218" spans="1:8" x14ac:dyDescent="0.25">
      <c r="A218">
        <v>448697007</v>
      </c>
      <c r="B218" t="s">
        <v>18</v>
      </c>
      <c r="C218">
        <v>2.4464285714285699E-2</v>
      </c>
      <c r="D218">
        <v>1.8881141781093</v>
      </c>
      <c r="E218">
        <v>0.155443675088384</v>
      </c>
      <c r="F218">
        <v>4</v>
      </c>
      <c r="G218" t="str">
        <f>VLOOKUP(A218,[1]inrix_key!$A:$C,3,FALSE)</f>
        <v>WB_N</v>
      </c>
      <c r="H218">
        <f t="shared" si="3"/>
        <v>1.4678571428571419</v>
      </c>
    </row>
    <row r="219" spans="1:8" x14ac:dyDescent="0.25">
      <c r="A219">
        <v>448697008</v>
      </c>
      <c r="B219" t="s">
        <v>18</v>
      </c>
      <c r="C219">
        <v>1.19999999999999E-2</v>
      </c>
      <c r="D219">
        <v>1.2693042083496899</v>
      </c>
      <c r="E219">
        <v>0.27315940291353802</v>
      </c>
      <c r="F219">
        <v>5</v>
      </c>
      <c r="G219" t="str">
        <f>VLOOKUP(A219,[1]inrix_key!$A:$C,3,FALSE)</f>
        <v>RiverValley_S</v>
      </c>
      <c r="H219">
        <f t="shared" si="3"/>
        <v>0.71999999999999398</v>
      </c>
    </row>
    <row r="220" spans="1:8" x14ac:dyDescent="0.25">
      <c r="A220">
        <v>448697009</v>
      </c>
      <c r="B220" t="s">
        <v>18</v>
      </c>
      <c r="C220">
        <v>7.8293650793650194E-3</v>
      </c>
      <c r="D220">
        <v>0.563680603928574</v>
      </c>
      <c r="E220">
        <v>0.60307317279884398</v>
      </c>
      <c r="F220">
        <v>5</v>
      </c>
      <c r="G220" t="str">
        <f>VLOOKUP(A220,[1]inrix_key!$A:$C,3,FALSE)</f>
        <v>Ustick_S</v>
      </c>
      <c r="H220">
        <f t="shared" si="3"/>
        <v>0.46976190476190116</v>
      </c>
    </row>
    <row r="221" spans="1:8" x14ac:dyDescent="0.25">
      <c r="A221">
        <v>448697010</v>
      </c>
      <c r="B221" t="s">
        <v>18</v>
      </c>
      <c r="C221">
        <v>4.3416005291005297E-2</v>
      </c>
      <c r="D221">
        <v>3.1055096925763501</v>
      </c>
      <c r="E221">
        <v>2.6686102598222801E-2</v>
      </c>
      <c r="F221">
        <v>6</v>
      </c>
      <c r="G221" t="str">
        <f>VLOOKUP(A221,[1]inrix_key!$A:$C,3,FALSE)</f>
        <v>RiverValley_N</v>
      </c>
      <c r="H221">
        <f t="shared" si="3"/>
        <v>2.6049603174603178</v>
      </c>
    </row>
    <row r="222" spans="1:8" x14ac:dyDescent="0.25">
      <c r="A222">
        <v>448697011</v>
      </c>
      <c r="B222" t="s">
        <v>18</v>
      </c>
      <c r="C222">
        <v>4.4695767195767198E-2</v>
      </c>
      <c r="D222">
        <v>1.34652538405944</v>
      </c>
      <c r="E222">
        <v>0.23594930044448401</v>
      </c>
      <c r="F222">
        <v>6</v>
      </c>
      <c r="G222" t="str">
        <f>VLOOKUP(A222,[1]inrix_key!$A:$C,3,FALSE)</f>
        <v>Fairview_N</v>
      </c>
      <c r="H222">
        <f t="shared" si="3"/>
        <v>2.681746031746032</v>
      </c>
    </row>
    <row r="223" spans="1:8" x14ac:dyDescent="0.25">
      <c r="A223">
        <v>448725595</v>
      </c>
      <c r="B223" t="s">
        <v>18</v>
      </c>
      <c r="C223">
        <v>1.5939153439153399E-2</v>
      </c>
      <c r="D223">
        <v>1.2862794316622299</v>
      </c>
      <c r="E223">
        <v>0.25468432444862299</v>
      </c>
      <c r="F223">
        <v>6</v>
      </c>
      <c r="G223" t="str">
        <f>VLOOKUP(A223,[1]inrix_key!$A:$C,3,FALSE)</f>
        <v>StLukes_S</v>
      </c>
      <c r="H223">
        <f t="shared" si="3"/>
        <v>0.95634920634920395</v>
      </c>
    </row>
    <row r="224" spans="1:8" x14ac:dyDescent="0.25">
      <c r="A224">
        <v>448725596</v>
      </c>
      <c r="B224" t="s">
        <v>18</v>
      </c>
      <c r="C224">
        <v>7.5132275132275004E-3</v>
      </c>
      <c r="D224">
        <v>0.46222890591752003</v>
      </c>
      <c r="E224">
        <v>0.66333359559761496</v>
      </c>
      <c r="F224">
        <v>6</v>
      </c>
      <c r="G224" t="str">
        <f>VLOOKUP(A224,[1]inrix_key!$A:$C,3,FALSE)</f>
        <v>Franklin_S</v>
      </c>
      <c r="H224">
        <f t="shared" si="3"/>
        <v>0.45079365079365002</v>
      </c>
    </row>
    <row r="225" spans="1:8" x14ac:dyDescent="0.25">
      <c r="A225">
        <v>448725597</v>
      </c>
      <c r="B225" t="s">
        <v>18</v>
      </c>
      <c r="C225">
        <v>-7.0555555555554999E-3</v>
      </c>
      <c r="D225">
        <v>-0.19216216126186</v>
      </c>
      <c r="E225">
        <v>0.86535810445109995</v>
      </c>
      <c r="F225">
        <v>3</v>
      </c>
      <c r="G225" t="str">
        <f>VLOOKUP(A225,[1]inrix_key!$A:$C,3,FALSE)</f>
        <v>Ustick_E</v>
      </c>
      <c r="H225">
        <f t="shared" si="3"/>
        <v>-0.42333333333333001</v>
      </c>
    </row>
    <row r="226" spans="1:8" x14ac:dyDescent="0.25">
      <c r="A226">
        <v>448725599</v>
      </c>
      <c r="B226" t="s">
        <v>18</v>
      </c>
      <c r="C226">
        <v>-3.5980158730158703E-2</v>
      </c>
      <c r="D226">
        <v>-6.2858527719781199</v>
      </c>
      <c r="E226">
        <v>8.1312849763236199E-3</v>
      </c>
      <c r="F226">
        <v>4</v>
      </c>
      <c r="G226" t="str">
        <f>VLOOKUP(A226,[1]inrix_key!$A:$C,3,FALSE)</f>
        <v>Chinden_S</v>
      </c>
      <c r="H226">
        <f t="shared" si="3"/>
        <v>-2.1588095238095222</v>
      </c>
    </row>
    <row r="227" spans="1:8" x14ac:dyDescent="0.25">
      <c r="A227">
        <v>474871675</v>
      </c>
      <c r="B227" t="s">
        <v>18</v>
      </c>
      <c r="C227">
        <v>1.06666666666666E-2</v>
      </c>
      <c r="D227">
        <v>4.0000000000000204</v>
      </c>
      <c r="E227">
        <v>0.15595826075473701</v>
      </c>
      <c r="F227">
        <v>2</v>
      </c>
      <c r="G227" t="str">
        <f>VLOOKUP(A227,[1]inrix_key!$A:$C,3,FALSE)</f>
        <v>McMillan_E</v>
      </c>
      <c r="H227">
        <f t="shared" si="3"/>
        <v>0.63999999999999602</v>
      </c>
    </row>
    <row r="228" spans="1:8" x14ac:dyDescent="0.25">
      <c r="A228">
        <v>484347992</v>
      </c>
      <c r="B228" t="s">
        <v>18</v>
      </c>
      <c r="C228">
        <v>-1.2499999999999901E-3</v>
      </c>
      <c r="D228">
        <v>-0.14285714285714199</v>
      </c>
      <c r="E228">
        <v>0.90966552939826695</v>
      </c>
      <c r="F228">
        <v>2</v>
      </c>
      <c r="G228">
        <f>VLOOKUP(A228,[1]inrix_key!$A:$C,3,FALSE)</f>
        <v>0</v>
      </c>
      <c r="H228">
        <f t="shared" si="3"/>
        <v>-7.49999999999994E-2</v>
      </c>
    </row>
    <row r="229" spans="1:8" x14ac:dyDescent="0.25">
      <c r="A229">
        <v>1187327938</v>
      </c>
      <c r="B229" t="s">
        <v>18</v>
      </c>
      <c r="C229">
        <v>9.5357142857142904E-2</v>
      </c>
      <c r="D229">
        <v>3.1450950649813501</v>
      </c>
      <c r="E229">
        <v>2.5519465501344998E-2</v>
      </c>
      <c r="F229">
        <v>6</v>
      </c>
      <c r="G229" t="str">
        <f>VLOOKUP(A229,[1]inrix_key!$A:$C,3,FALSE)</f>
        <v>Franklin_W</v>
      </c>
      <c r="H229">
        <f t="shared" si="3"/>
        <v>5.7214285714285742</v>
      </c>
    </row>
    <row r="230" spans="1:8" x14ac:dyDescent="0.25">
      <c r="A230">
        <v>1187333605</v>
      </c>
      <c r="B230" t="s">
        <v>18</v>
      </c>
      <c r="C230">
        <v>5.3281746031746E-2</v>
      </c>
      <c r="D230">
        <v>2.1658333839961399</v>
      </c>
      <c r="E230">
        <v>9.6258055565621503E-2</v>
      </c>
      <c r="F230">
        <v>5</v>
      </c>
      <c r="G230" t="str">
        <f>VLOOKUP(A230,[1]inrix_key!$A:$C,3,FALSE)</f>
        <v>Colchester_N</v>
      </c>
      <c r="H230">
        <f t="shared" si="3"/>
        <v>3.1969047619047601</v>
      </c>
    </row>
    <row r="231" spans="1:8" x14ac:dyDescent="0.25">
      <c r="A231">
        <v>1187333665</v>
      </c>
      <c r="B231" t="s">
        <v>18</v>
      </c>
      <c r="C231">
        <v>1.2916666666666601E-2</v>
      </c>
      <c r="D231">
        <v>4.5218147364346697</v>
      </c>
      <c r="E231">
        <v>2.0225660967384498E-2</v>
      </c>
      <c r="F231">
        <v>4</v>
      </c>
      <c r="G231" t="str">
        <f>VLOOKUP(A231,[1]inrix_key!$A:$C,3,FALSE)</f>
        <v>Chinden_N</v>
      </c>
      <c r="H231">
        <f t="shared" si="3"/>
        <v>0.77499999999999603</v>
      </c>
    </row>
    <row r="232" spans="1:8" x14ac:dyDescent="0.25">
      <c r="A232">
        <v>1187334983</v>
      </c>
      <c r="B232" t="s">
        <v>18</v>
      </c>
      <c r="C232">
        <v>4.1904761904761903E-2</v>
      </c>
      <c r="D232">
        <v>0.97908493634897098</v>
      </c>
      <c r="E232">
        <v>0.38297448506828702</v>
      </c>
      <c r="F232">
        <v>5</v>
      </c>
      <c r="G232" t="str">
        <f>VLOOKUP(A232,[1]inrix_key!$A:$C,3,FALSE)</f>
        <v>Wainwright_N</v>
      </c>
      <c r="H232">
        <f t="shared" si="3"/>
        <v>2.5142857142857142</v>
      </c>
    </row>
    <row r="233" spans="1:8" x14ac:dyDescent="0.25">
      <c r="A233">
        <v>1187335042</v>
      </c>
      <c r="B233" t="s">
        <v>18</v>
      </c>
      <c r="C233">
        <v>5.4301587301587302E-2</v>
      </c>
      <c r="D233">
        <v>1.0774471283098801</v>
      </c>
      <c r="E233">
        <v>0.34192420838122001</v>
      </c>
      <c r="F233">
        <v>5</v>
      </c>
      <c r="G233" t="str">
        <f>VLOOKUP(A233,[1]inrix_key!$A:$C,3,FALSE)</f>
        <v>Ustick_N</v>
      </c>
      <c r="H233">
        <f t="shared" si="3"/>
        <v>3.2580952380952382</v>
      </c>
    </row>
    <row r="234" spans="1:8" x14ac:dyDescent="0.25">
      <c r="A234">
        <v>1187377510</v>
      </c>
      <c r="B234" t="s">
        <v>18</v>
      </c>
      <c r="C234">
        <v>2.27678571428571E-2</v>
      </c>
      <c r="D234">
        <v>2.6842105263157898</v>
      </c>
      <c r="E234">
        <v>0.227031429771096</v>
      </c>
      <c r="F234">
        <v>2</v>
      </c>
      <c r="G234" t="str">
        <f>VLOOKUP(A234,[1]inrix_key!$A:$C,3,FALSE)</f>
        <v>EB_S</v>
      </c>
      <c r="H234">
        <f t="shared" si="3"/>
        <v>1.3660714285714259</v>
      </c>
    </row>
    <row r="235" spans="1:8" x14ac:dyDescent="0.25">
      <c r="A235">
        <v>1187466896</v>
      </c>
      <c r="B235" t="s">
        <v>18</v>
      </c>
      <c r="C235">
        <v>-1.41038359788359E-2</v>
      </c>
      <c r="D235">
        <v>-0.73001459726944695</v>
      </c>
      <c r="E235">
        <v>0.49813304864597202</v>
      </c>
      <c r="F235">
        <v>6</v>
      </c>
      <c r="G235" t="str">
        <f>VLOOKUP(A235,[1]inrix_key!$A:$C,3,FALSE)</f>
        <v>IslandWood_S</v>
      </c>
      <c r="H235">
        <f t="shared" si="3"/>
        <v>-0.84623015873015395</v>
      </c>
    </row>
    <row r="236" spans="1:8" x14ac:dyDescent="0.25">
      <c r="A236">
        <v>1187466917</v>
      </c>
      <c r="B236" t="s">
        <v>18</v>
      </c>
      <c r="C236">
        <v>-3.73115079365079E-2</v>
      </c>
      <c r="D236">
        <v>-2.2107719757823499</v>
      </c>
      <c r="E236">
        <v>7.8028652135302606E-2</v>
      </c>
      <c r="F236">
        <v>6</v>
      </c>
      <c r="G236" t="str">
        <f>VLOOKUP(A236,[1]inrix_key!$A:$C,3,FALSE)</f>
        <v>Colchester_S</v>
      </c>
      <c r="H236">
        <f t="shared" si="3"/>
        <v>-2.2386904761904738</v>
      </c>
    </row>
    <row r="237" spans="1:8" x14ac:dyDescent="0.25">
      <c r="A237">
        <v>1187517040</v>
      </c>
      <c r="B237" t="s">
        <v>18</v>
      </c>
      <c r="C237">
        <v>-1.6732804232804099E-2</v>
      </c>
      <c r="D237">
        <v>-0.91826886299426302</v>
      </c>
      <c r="E237">
        <v>0.40060609201337499</v>
      </c>
      <c r="F237">
        <v>6</v>
      </c>
      <c r="G237" t="str">
        <f>VLOOKUP(A237,[1]inrix_key!$A:$C,3,FALSE)</f>
        <v>Wainwright_S</v>
      </c>
      <c r="H237">
        <f t="shared" si="3"/>
        <v>-1.003968253968246</v>
      </c>
    </row>
    <row r="238" spans="1:8" x14ac:dyDescent="0.25">
      <c r="A238">
        <v>1187532837</v>
      </c>
      <c r="B238" t="s">
        <v>18</v>
      </c>
      <c r="C238">
        <v>1.46825396825397E-2</v>
      </c>
      <c r="D238">
        <v>0.44862097967306602</v>
      </c>
      <c r="E238">
        <v>0.69762642742870196</v>
      </c>
      <c r="F238">
        <v>3</v>
      </c>
      <c r="G238" t="str">
        <f>VLOOKUP(A238,[1]inrix_key!$A:$C,3,FALSE)</f>
        <v>HobbleCreek_N</v>
      </c>
      <c r="H238">
        <f t="shared" si="3"/>
        <v>0.88095238095238204</v>
      </c>
    </row>
    <row r="239" spans="1:8" x14ac:dyDescent="0.25">
      <c r="A239">
        <v>1187548947</v>
      </c>
      <c r="B239" t="s">
        <v>18</v>
      </c>
      <c r="C239">
        <v>7.6190476190476503E-3</v>
      </c>
      <c r="D239">
        <v>0.74702704812135401</v>
      </c>
      <c r="E239">
        <v>0.488665493318795</v>
      </c>
      <c r="F239">
        <v>6</v>
      </c>
      <c r="G239" t="str">
        <f>VLOOKUP(A239,[1]inrix_key!$A:$C,3,FALSE)</f>
        <v>Fairview_S</v>
      </c>
      <c r="H239">
        <f t="shared" si="3"/>
        <v>0.45714285714285902</v>
      </c>
    </row>
    <row r="240" spans="1:8" x14ac:dyDescent="0.25">
      <c r="A240">
        <v>1187548975</v>
      </c>
      <c r="B240" t="s">
        <v>18</v>
      </c>
      <c r="C240">
        <v>7.0039682539682398E-3</v>
      </c>
      <c r="D240">
        <v>0.21064504570968001</v>
      </c>
      <c r="E240">
        <v>0.84147972065159304</v>
      </c>
      <c r="F240">
        <v>6</v>
      </c>
      <c r="G240" t="str">
        <f>VLOOKUP(A240,[1]inrix_key!$A:$C,3,FALSE)</f>
        <v>Pine_S</v>
      </c>
      <c r="H240">
        <f t="shared" si="3"/>
        <v>0.42023809523809441</v>
      </c>
    </row>
    <row r="241" spans="1:8" x14ac:dyDescent="0.25">
      <c r="A241">
        <v>1187548987</v>
      </c>
      <c r="B241" t="s">
        <v>18</v>
      </c>
      <c r="C241">
        <v>-3.1047619047619001E-2</v>
      </c>
      <c r="D241">
        <v>-1.8898431642267699</v>
      </c>
      <c r="E241">
        <v>0.131774402978411</v>
      </c>
      <c r="F241">
        <v>5</v>
      </c>
      <c r="G241" t="str">
        <f>VLOOKUP(A241,[1]inrix_key!$A:$C,3,FALSE)</f>
        <v>McMillan_S</v>
      </c>
      <c r="H241">
        <f t="shared" si="3"/>
        <v>-1.8628571428571401</v>
      </c>
    </row>
    <row r="242" spans="1:8" x14ac:dyDescent="0.25">
      <c r="A242">
        <v>1187549053</v>
      </c>
      <c r="B242" t="s">
        <v>18</v>
      </c>
      <c r="C242">
        <v>-3.1646825396825298E-2</v>
      </c>
      <c r="D242">
        <v>-1.53697052271231</v>
      </c>
      <c r="E242">
        <v>0.22189473667017101</v>
      </c>
      <c r="F242">
        <v>4</v>
      </c>
      <c r="G242" t="str">
        <f>VLOOKUP(A242,[1]inrix_key!$A:$C,3,FALSE)</f>
        <v>HobbleCreek_S</v>
      </c>
      <c r="H242">
        <f t="shared" si="3"/>
        <v>-1.898809523809518</v>
      </c>
    </row>
    <row r="243" spans="1:8" x14ac:dyDescent="0.25">
      <c r="A243">
        <v>1187577122</v>
      </c>
      <c r="B243" t="s">
        <v>18</v>
      </c>
      <c r="C243">
        <v>-2.8119047619047599E-2</v>
      </c>
      <c r="D243">
        <v>-1.56155089480895</v>
      </c>
      <c r="E243">
        <v>0.19342032966148401</v>
      </c>
      <c r="F243">
        <v>5</v>
      </c>
      <c r="G243" t="str">
        <f>VLOOKUP(A243,[1]inrix_key!$A:$C,3,FALSE)</f>
        <v>Chinden_E</v>
      </c>
      <c r="H243">
        <f t="shared" si="3"/>
        <v>-1.6871428571428559</v>
      </c>
    </row>
    <row r="244" spans="1:8" x14ac:dyDescent="0.25">
      <c r="A244">
        <v>1187579027</v>
      </c>
      <c r="B244" t="s">
        <v>18</v>
      </c>
      <c r="C244">
        <v>-3.7777777777777702E-2</v>
      </c>
      <c r="D244">
        <v>-1.37336805310796</v>
      </c>
      <c r="E244">
        <v>0.22802164534619701</v>
      </c>
      <c r="F244">
        <v>6</v>
      </c>
      <c r="G244" t="str">
        <f>VLOOKUP(A244,[1]inrix_key!$A:$C,3,FALSE)</f>
        <v>Fairview_E</v>
      </c>
      <c r="H244">
        <f t="shared" si="3"/>
        <v>-2.2666666666666622</v>
      </c>
    </row>
    <row r="245" spans="1:8" x14ac:dyDescent="0.25">
      <c r="A245">
        <v>1187586311</v>
      </c>
      <c r="B245" t="s">
        <v>18</v>
      </c>
      <c r="C245">
        <v>2.1295634920634798E-2</v>
      </c>
      <c r="D245">
        <v>0.67470393259908201</v>
      </c>
      <c r="E245">
        <v>0.52979689979714395</v>
      </c>
      <c r="F245">
        <v>6</v>
      </c>
      <c r="G245" t="str">
        <f>VLOOKUP(A245,[1]inrix_key!$A:$C,3,FALSE)</f>
        <v>EB_W</v>
      </c>
      <c r="H245">
        <f t="shared" si="3"/>
        <v>1.2777380952380879</v>
      </c>
    </row>
    <row r="246" spans="1:8" x14ac:dyDescent="0.25">
      <c r="A246">
        <v>1187612015</v>
      </c>
      <c r="B246" t="s">
        <v>18</v>
      </c>
      <c r="C246">
        <v>-2.57142857142857E-2</v>
      </c>
      <c r="D246">
        <v>-1.36935775738215</v>
      </c>
      <c r="E246">
        <v>0.304378189503338</v>
      </c>
      <c r="F246">
        <v>3</v>
      </c>
      <c r="G246" t="str">
        <f>VLOOKUP(A246,[1]inrix_key!$A:$C,3,FALSE)</f>
        <v>Chinden_W</v>
      </c>
      <c r="H246">
        <f t="shared" si="3"/>
        <v>-1.542857142857142</v>
      </c>
    </row>
    <row r="247" spans="1:8" x14ac:dyDescent="0.25">
      <c r="A247">
        <v>1187635580</v>
      </c>
      <c r="B247" t="s">
        <v>18</v>
      </c>
      <c r="C247">
        <v>7.9497354497354393E-3</v>
      </c>
      <c r="D247">
        <v>0.74358810857853297</v>
      </c>
      <c r="E247">
        <v>0.49056890531108599</v>
      </c>
      <c r="F247">
        <v>6</v>
      </c>
      <c r="G247" t="str">
        <f>VLOOKUP(A247,[1]inrix_key!$A:$C,3,FALSE)</f>
        <v>WB_S</v>
      </c>
      <c r="H247">
        <f t="shared" si="3"/>
        <v>0.47698412698412634</v>
      </c>
    </row>
    <row r="248" spans="1:8" x14ac:dyDescent="0.25">
      <c r="A248">
        <v>1187636735</v>
      </c>
      <c r="B248" t="s">
        <v>18</v>
      </c>
      <c r="C248">
        <v>-2.27380952380952E-2</v>
      </c>
      <c r="D248">
        <v>-0.85306118826013799</v>
      </c>
      <c r="E248">
        <v>0.48348752475668999</v>
      </c>
      <c r="F248">
        <v>3</v>
      </c>
      <c r="G248" t="str">
        <f>VLOOKUP(A248,[1]inrix_key!$A:$C,3,FALSE)</f>
        <v>WB_E</v>
      </c>
      <c r="H248">
        <f t="shared" si="3"/>
        <v>-1.3642857142857119</v>
      </c>
    </row>
    <row r="249" spans="1:8" x14ac:dyDescent="0.25">
      <c r="A249">
        <v>1187654588</v>
      </c>
      <c r="B249" t="s">
        <v>18</v>
      </c>
      <c r="C249">
        <v>5.8445767195767197E-2</v>
      </c>
      <c r="D249">
        <v>11.3683750855451</v>
      </c>
      <c r="E249" s="1">
        <v>9.2143680413616903E-5</v>
      </c>
      <c r="F249">
        <v>6</v>
      </c>
      <c r="G249" t="str">
        <f>VLOOKUP(A249,[1]inrix_key!$A:$C,3,FALSE)</f>
        <v>Franklin_N</v>
      </c>
      <c r="H249">
        <f t="shared" si="3"/>
        <v>3.5067460317460317</v>
      </c>
    </row>
    <row r="250" spans="1:8" x14ac:dyDescent="0.25">
      <c r="A250">
        <v>1187654609</v>
      </c>
      <c r="B250" t="s">
        <v>18</v>
      </c>
      <c r="C250">
        <v>3.87222222222222E-2</v>
      </c>
      <c r="D250">
        <v>4.4323334744327196</v>
      </c>
      <c r="E250">
        <v>6.8132680736255899E-3</v>
      </c>
      <c r="F250">
        <v>6</v>
      </c>
      <c r="G250" t="str">
        <f>VLOOKUP(A250,[1]inrix_key!$A:$C,3,FALSE)</f>
        <v>Pine_N</v>
      </c>
      <c r="H250">
        <f t="shared" si="3"/>
        <v>2.3233333333333319</v>
      </c>
    </row>
    <row r="251" spans="1:8" x14ac:dyDescent="0.25">
      <c r="A251">
        <v>117503882</v>
      </c>
      <c r="B251" t="s">
        <v>17</v>
      </c>
      <c r="C251">
        <v>2.4402645502645499E-2</v>
      </c>
      <c r="D251">
        <v>1.8256434298296</v>
      </c>
      <c r="E251">
        <v>7.8218545505952697E-2</v>
      </c>
      <c r="F251">
        <v>30</v>
      </c>
      <c r="G251" t="str">
        <f>VLOOKUP(A251,[1]inrix_key!$A:$C,3,FALSE)</f>
        <v>Franklin_E</v>
      </c>
      <c r="H251">
        <f t="shared" si="3"/>
        <v>1.46415873015873</v>
      </c>
    </row>
    <row r="252" spans="1:8" x14ac:dyDescent="0.25">
      <c r="A252">
        <v>117772024</v>
      </c>
      <c r="B252" t="s">
        <v>17</v>
      </c>
      <c r="C252">
        <v>1.9753284072249501E-2</v>
      </c>
      <c r="D252">
        <v>2.1173476212624198</v>
      </c>
      <c r="E252">
        <v>4.3244490022947703E-2</v>
      </c>
      <c r="F252">
        <v>29</v>
      </c>
      <c r="G252" t="str">
        <f>VLOOKUP(A252,[1]inrix_key!$A:$C,3,FALSE)</f>
        <v>IslandWood_W</v>
      </c>
      <c r="H252">
        <f t="shared" si="3"/>
        <v>1.18519704433497</v>
      </c>
    </row>
    <row r="253" spans="1:8" x14ac:dyDescent="0.25">
      <c r="A253">
        <v>119241469</v>
      </c>
      <c r="B253" t="s">
        <v>17</v>
      </c>
      <c r="C253">
        <v>-3.8437969924812E-2</v>
      </c>
      <c r="D253">
        <v>-5.4548031894546902</v>
      </c>
      <c r="E253" s="1">
        <v>3.5071433632622198E-5</v>
      </c>
      <c r="F253">
        <v>19</v>
      </c>
      <c r="G253" t="str">
        <f>VLOOKUP(A253,[1]inrix_key!$A:$C,3,FALSE)</f>
        <v>Colchester_W</v>
      </c>
      <c r="H253">
        <f t="shared" si="3"/>
        <v>-2.3062781954887202</v>
      </c>
    </row>
    <row r="254" spans="1:8" x14ac:dyDescent="0.25">
      <c r="A254">
        <v>119269713</v>
      </c>
      <c r="B254" t="s">
        <v>17</v>
      </c>
      <c r="C254">
        <v>5.0309343434343401E-2</v>
      </c>
      <c r="D254">
        <v>4.00956488960637</v>
      </c>
      <c r="E254">
        <v>6.3503559209689999E-4</v>
      </c>
      <c r="F254">
        <v>22</v>
      </c>
      <c r="G254" t="str">
        <f>VLOOKUP(A254,[1]inrix_key!$A:$C,3,FALSE)</f>
        <v>Colchester_E</v>
      </c>
      <c r="H254">
        <f t="shared" si="3"/>
        <v>3.0185606060606043</v>
      </c>
    </row>
    <row r="255" spans="1:8" x14ac:dyDescent="0.25">
      <c r="A255">
        <v>119501618</v>
      </c>
      <c r="B255" t="s">
        <v>17</v>
      </c>
      <c r="C255">
        <v>4.72322530864197E-2</v>
      </c>
      <c r="D255">
        <v>5.3331493830880303</v>
      </c>
      <c r="E255" s="1">
        <v>5.8491618836673999E-6</v>
      </c>
      <c r="F255">
        <v>36</v>
      </c>
      <c r="G255" t="str">
        <f>VLOOKUP(A255,[1]inrix_key!$A:$C,3,FALSE)</f>
        <v>McMillan_N</v>
      </c>
      <c r="H255">
        <f t="shared" si="3"/>
        <v>2.8339351851851822</v>
      </c>
    </row>
    <row r="256" spans="1:8" x14ac:dyDescent="0.25">
      <c r="A256">
        <v>384121516</v>
      </c>
      <c r="B256" t="s">
        <v>17</v>
      </c>
      <c r="C256">
        <v>3.3885048643113101E-3</v>
      </c>
      <c r="D256">
        <v>0.35006103409521</v>
      </c>
      <c r="E256">
        <v>0.72873873530393196</v>
      </c>
      <c r="F256">
        <v>31</v>
      </c>
      <c r="G256" t="str">
        <f>VLOOKUP(A256,[1]inrix_key!$A:$C,3,FALSE)</f>
        <v>McMillan_W</v>
      </c>
      <c r="H256">
        <f t="shared" si="3"/>
        <v>0.2033102918586786</v>
      </c>
    </row>
    <row r="257" spans="1:8" x14ac:dyDescent="0.25">
      <c r="A257">
        <v>384139881</v>
      </c>
      <c r="B257" t="s">
        <v>17</v>
      </c>
      <c r="C257">
        <v>2.9188492063492E-2</v>
      </c>
      <c r="D257">
        <v>2.8123265440295802</v>
      </c>
      <c r="E257">
        <v>9.0539669884964601E-3</v>
      </c>
      <c r="F257">
        <v>28</v>
      </c>
      <c r="G257" t="str">
        <f>VLOOKUP(A257,[1]inrix_key!$A:$C,3,FALSE)</f>
        <v>Pine_W</v>
      </c>
      <c r="H257">
        <f t="shared" si="3"/>
        <v>1.75130952380952</v>
      </c>
    </row>
    <row r="258" spans="1:8" x14ac:dyDescent="0.25">
      <c r="A258">
        <v>428958433</v>
      </c>
      <c r="B258" t="s">
        <v>17</v>
      </c>
      <c r="C258">
        <v>-3.1417233560090598E-3</v>
      </c>
      <c r="D258">
        <v>-1.4317309923021</v>
      </c>
      <c r="E258">
        <v>0.16369598861700799</v>
      </c>
      <c r="F258">
        <v>28</v>
      </c>
      <c r="G258" t="str">
        <f>VLOOKUP(A258,[1]inrix_key!$A:$C,3,FALSE)</f>
        <v>EB_S</v>
      </c>
      <c r="H258">
        <f t="shared" ref="H258:H302" si="4">60*C258</f>
        <v>-0.18850340136054358</v>
      </c>
    </row>
    <row r="259" spans="1:8" x14ac:dyDescent="0.25">
      <c r="A259">
        <v>428958434</v>
      </c>
      <c r="B259" t="s">
        <v>17</v>
      </c>
      <c r="C259">
        <v>-5.9782347282347197E-3</v>
      </c>
      <c r="D259">
        <v>-1.3525935892749299</v>
      </c>
      <c r="E259">
        <v>0.185666558008271</v>
      </c>
      <c r="F259">
        <v>33</v>
      </c>
      <c r="G259">
        <f>VLOOKUP(A259,[1]inrix_key!$A:$C,3,FALSE)</f>
        <v>0</v>
      </c>
      <c r="H259">
        <f t="shared" si="4"/>
        <v>-0.35869408369408318</v>
      </c>
    </row>
    <row r="260" spans="1:8" x14ac:dyDescent="0.25">
      <c r="A260">
        <v>428958435</v>
      </c>
      <c r="B260" t="s">
        <v>17</v>
      </c>
      <c r="C260">
        <v>-4.9467418546364896E-4</v>
      </c>
      <c r="D260">
        <v>-7.6288003527032605E-2</v>
      </c>
      <c r="E260">
        <v>0.93960099312267098</v>
      </c>
      <c r="F260">
        <v>38</v>
      </c>
      <c r="G260">
        <f>VLOOKUP(A260,[1]inrix_key!$A:$C,3,FALSE)</f>
        <v>0</v>
      </c>
      <c r="H260">
        <f t="shared" si="4"/>
        <v>-2.9680451127818936E-2</v>
      </c>
    </row>
    <row r="261" spans="1:8" x14ac:dyDescent="0.25">
      <c r="A261">
        <v>448694747</v>
      </c>
      <c r="B261" t="s">
        <v>17</v>
      </c>
      <c r="C261">
        <v>2.0439980158730098E-2</v>
      </c>
      <c r="D261">
        <v>2.0794606270849001</v>
      </c>
      <c r="E261">
        <v>4.5936268329045703E-2</v>
      </c>
      <c r="F261">
        <v>32</v>
      </c>
      <c r="G261" t="str">
        <f>VLOOKUP(A261,[1]inrix_key!$A:$C,3,FALSE)</f>
        <v>Fairview_W</v>
      </c>
      <c r="H261">
        <f t="shared" si="4"/>
        <v>1.2263988095238059</v>
      </c>
    </row>
    <row r="262" spans="1:8" x14ac:dyDescent="0.25">
      <c r="A262">
        <v>448694757</v>
      </c>
      <c r="B262" t="s">
        <v>17</v>
      </c>
      <c r="C262">
        <v>-2.5286477411477399E-2</v>
      </c>
      <c r="D262">
        <v>-2.3988259181859299</v>
      </c>
      <c r="E262">
        <v>2.4228978448483599E-2</v>
      </c>
      <c r="F262">
        <v>26</v>
      </c>
      <c r="G262" t="str">
        <f>VLOOKUP(A262,[1]inrix_key!$A:$C,3,FALSE)</f>
        <v>Ustick_W</v>
      </c>
      <c r="H262">
        <f t="shared" si="4"/>
        <v>-1.517188644688644</v>
      </c>
    </row>
    <row r="263" spans="1:8" x14ac:dyDescent="0.25">
      <c r="A263">
        <v>448695751</v>
      </c>
      <c r="B263" t="s">
        <v>17</v>
      </c>
      <c r="C263">
        <v>-5.6564327485380097E-3</v>
      </c>
      <c r="D263">
        <v>-1.17186583785274</v>
      </c>
      <c r="E263">
        <v>0.248741747700715</v>
      </c>
      <c r="F263">
        <v>38</v>
      </c>
      <c r="G263" t="str">
        <f>VLOOKUP(A263,[1]inrix_key!$A:$C,3,FALSE)</f>
        <v>Riverside_N</v>
      </c>
      <c r="H263">
        <f t="shared" si="4"/>
        <v>-0.33938596491228057</v>
      </c>
    </row>
    <row r="264" spans="1:8" x14ac:dyDescent="0.25">
      <c r="A264">
        <v>448695752</v>
      </c>
      <c r="B264" t="s">
        <v>17</v>
      </c>
      <c r="C264">
        <v>1.1081871345029199E-3</v>
      </c>
      <c r="D264">
        <v>0.34173057735575502</v>
      </c>
      <c r="E264">
        <v>0.73448702522498399</v>
      </c>
      <c r="F264">
        <v>38</v>
      </c>
      <c r="G264" t="str">
        <f>VLOOKUP(A264,[1]inrix_key!$A:$C,3,FALSE)</f>
        <v>IslandWood_N</v>
      </c>
      <c r="H264">
        <f t="shared" si="4"/>
        <v>6.6491228070175198E-2</v>
      </c>
    </row>
    <row r="265" spans="1:8" x14ac:dyDescent="0.25">
      <c r="A265">
        <v>448695753</v>
      </c>
      <c r="B265" t="s">
        <v>17</v>
      </c>
      <c r="C265">
        <v>-4.2081413210445498E-3</v>
      </c>
      <c r="D265">
        <v>-0.70163845661212598</v>
      </c>
      <c r="E265">
        <v>0.48831248525124998</v>
      </c>
      <c r="F265">
        <v>31</v>
      </c>
      <c r="G265" t="str">
        <f>VLOOKUP(A265,[1]inrix_key!$A:$C,3,FALSE)</f>
        <v>Riverside_S</v>
      </c>
      <c r="H265">
        <f t="shared" si="4"/>
        <v>-0.25248847926267298</v>
      </c>
    </row>
    <row r="266" spans="1:8" x14ac:dyDescent="0.25">
      <c r="A266">
        <v>448695754</v>
      </c>
      <c r="B266" t="s">
        <v>17</v>
      </c>
      <c r="C266">
        <v>-1.36250640040962E-2</v>
      </c>
      <c r="D266">
        <v>-2.1093815986658302</v>
      </c>
      <c r="E266">
        <v>4.3364434300373698E-2</v>
      </c>
      <c r="F266">
        <v>31</v>
      </c>
      <c r="G266" t="str">
        <f>VLOOKUP(A266,[1]inrix_key!$A:$C,3,FALSE)</f>
        <v>State_S</v>
      </c>
      <c r="H266">
        <f t="shared" si="4"/>
        <v>-0.81750384024577205</v>
      </c>
    </row>
    <row r="267" spans="1:8" x14ac:dyDescent="0.25">
      <c r="A267">
        <v>448697006</v>
      </c>
      <c r="B267" t="s">
        <v>17</v>
      </c>
      <c r="C267">
        <v>3.9922723475355098E-3</v>
      </c>
      <c r="D267">
        <v>0.80446321877300297</v>
      </c>
      <c r="E267">
        <v>0.426268505927137</v>
      </c>
      <c r="F267">
        <v>38</v>
      </c>
      <c r="G267" t="str">
        <f>VLOOKUP(A267,[1]inrix_key!$A:$C,3,FALSE)</f>
        <v>StLukes_N</v>
      </c>
      <c r="H267">
        <f t="shared" si="4"/>
        <v>0.23953634085213057</v>
      </c>
    </row>
    <row r="268" spans="1:8" x14ac:dyDescent="0.25">
      <c r="A268">
        <v>448697007</v>
      </c>
      <c r="B268" t="s">
        <v>17</v>
      </c>
      <c r="C268">
        <v>-4.9283625730994199E-3</v>
      </c>
      <c r="D268">
        <v>-1.4126417509349301</v>
      </c>
      <c r="E268">
        <v>0.166117906764982</v>
      </c>
      <c r="F268">
        <v>38</v>
      </c>
      <c r="G268" t="str">
        <f>VLOOKUP(A268,[1]inrix_key!$A:$C,3,FALSE)</f>
        <v>WB_N</v>
      </c>
      <c r="H268">
        <f t="shared" si="4"/>
        <v>-0.29570175438596519</v>
      </c>
    </row>
    <row r="269" spans="1:8" x14ac:dyDescent="0.25">
      <c r="A269">
        <v>448697008</v>
      </c>
      <c r="B269" t="s">
        <v>17</v>
      </c>
      <c r="C269">
        <v>2.0012400793650801E-2</v>
      </c>
      <c r="D269">
        <v>3.1876006978269298</v>
      </c>
      <c r="E269">
        <v>3.2684119407651101E-3</v>
      </c>
      <c r="F269">
        <v>32</v>
      </c>
      <c r="G269" t="str">
        <f>VLOOKUP(A269,[1]inrix_key!$A:$C,3,FALSE)</f>
        <v>RiverValley_S</v>
      </c>
      <c r="H269">
        <f t="shared" si="4"/>
        <v>1.2007440476190481</v>
      </c>
    </row>
    <row r="270" spans="1:8" x14ac:dyDescent="0.25">
      <c r="A270">
        <v>448697009</v>
      </c>
      <c r="B270" t="s">
        <v>17</v>
      </c>
      <c r="C270">
        <v>8.7383432539682501E-3</v>
      </c>
      <c r="D270">
        <v>0.80563516247200095</v>
      </c>
      <c r="E270">
        <v>0.42659003850370197</v>
      </c>
      <c r="F270">
        <v>32</v>
      </c>
      <c r="G270" t="str">
        <f>VLOOKUP(A270,[1]inrix_key!$A:$C,3,FALSE)</f>
        <v>Ustick_S</v>
      </c>
      <c r="H270">
        <f t="shared" si="4"/>
        <v>0.52430059523809502</v>
      </c>
    </row>
    <row r="271" spans="1:8" x14ac:dyDescent="0.25">
      <c r="A271">
        <v>448697010</v>
      </c>
      <c r="B271" t="s">
        <v>17</v>
      </c>
      <c r="C271">
        <v>5.86254409171075E-3</v>
      </c>
      <c r="D271">
        <v>1.34017556099376</v>
      </c>
      <c r="E271">
        <v>0.18882405354256199</v>
      </c>
      <c r="F271">
        <v>36</v>
      </c>
      <c r="G271" t="str">
        <f>VLOOKUP(A271,[1]inrix_key!$A:$C,3,FALSE)</f>
        <v>RiverValley_N</v>
      </c>
      <c r="H271">
        <f t="shared" si="4"/>
        <v>0.35175264550264501</v>
      </c>
    </row>
    <row r="272" spans="1:8" x14ac:dyDescent="0.25">
      <c r="A272">
        <v>448697011</v>
      </c>
      <c r="B272" t="s">
        <v>17</v>
      </c>
      <c r="C272">
        <v>4.8470017636684203E-3</v>
      </c>
      <c r="D272">
        <v>0.60258306923511895</v>
      </c>
      <c r="E272">
        <v>0.55067066534625997</v>
      </c>
      <c r="F272">
        <v>36</v>
      </c>
      <c r="G272" t="str">
        <f>VLOOKUP(A272,[1]inrix_key!$A:$C,3,FALSE)</f>
        <v>Fairview_N</v>
      </c>
      <c r="H272">
        <f t="shared" si="4"/>
        <v>0.2908201058201052</v>
      </c>
    </row>
    <row r="273" spans="1:8" x14ac:dyDescent="0.25">
      <c r="A273">
        <v>448725595</v>
      </c>
      <c r="B273" t="s">
        <v>17</v>
      </c>
      <c r="C273">
        <v>1.2833437761069299E-2</v>
      </c>
      <c r="D273">
        <v>3.3523598375032799</v>
      </c>
      <c r="E273">
        <v>1.85784472652615E-3</v>
      </c>
      <c r="F273">
        <v>38</v>
      </c>
      <c r="G273" t="str">
        <f>VLOOKUP(A273,[1]inrix_key!$A:$C,3,FALSE)</f>
        <v>StLukes_S</v>
      </c>
      <c r="H273">
        <f t="shared" si="4"/>
        <v>0.77000626566415797</v>
      </c>
    </row>
    <row r="274" spans="1:8" x14ac:dyDescent="0.25">
      <c r="A274">
        <v>448725596</v>
      </c>
      <c r="B274" t="s">
        <v>17</v>
      </c>
      <c r="C274">
        <v>2.33181913116123E-2</v>
      </c>
      <c r="D274">
        <v>4.1270346421866302</v>
      </c>
      <c r="E274">
        <v>2.0026714019090501E-4</v>
      </c>
      <c r="F274">
        <v>38</v>
      </c>
      <c r="G274" t="str">
        <f>VLOOKUP(A274,[1]inrix_key!$A:$C,3,FALSE)</f>
        <v>Franklin_S</v>
      </c>
      <c r="H274">
        <f t="shared" si="4"/>
        <v>1.3990914786967381</v>
      </c>
    </row>
    <row r="275" spans="1:8" x14ac:dyDescent="0.25">
      <c r="A275">
        <v>448725597</v>
      </c>
      <c r="B275" t="s">
        <v>17</v>
      </c>
      <c r="C275">
        <v>6.8794826572604198E-3</v>
      </c>
      <c r="D275">
        <v>0.36167577656305</v>
      </c>
      <c r="E275">
        <v>0.72051711159672005</v>
      </c>
      <c r="F275">
        <v>27</v>
      </c>
      <c r="G275" t="str">
        <f>VLOOKUP(A275,[1]inrix_key!$A:$C,3,FALSE)</f>
        <v>Ustick_E</v>
      </c>
      <c r="H275">
        <f t="shared" si="4"/>
        <v>0.41276895943562519</v>
      </c>
    </row>
    <row r="276" spans="1:8" x14ac:dyDescent="0.25">
      <c r="A276">
        <v>448725599</v>
      </c>
      <c r="B276" t="s">
        <v>17</v>
      </c>
      <c r="C276">
        <v>-4.2963389656938002E-2</v>
      </c>
      <c r="D276">
        <v>-4.8409247173822001</v>
      </c>
      <c r="E276" s="1">
        <v>3.6495832738458798E-5</v>
      </c>
      <c r="F276">
        <v>31</v>
      </c>
      <c r="G276" t="str">
        <f>VLOOKUP(A276,[1]inrix_key!$A:$C,3,FALSE)</f>
        <v>Chinden_S</v>
      </c>
      <c r="H276">
        <f t="shared" si="4"/>
        <v>-2.57780337941628</v>
      </c>
    </row>
    <row r="277" spans="1:8" x14ac:dyDescent="0.25">
      <c r="A277">
        <v>474871675</v>
      </c>
      <c r="B277" t="s">
        <v>17</v>
      </c>
      <c r="C277">
        <v>-5.9301075268817097E-3</v>
      </c>
      <c r="D277">
        <v>-0.84098905384676703</v>
      </c>
      <c r="E277">
        <v>0.40700759360449501</v>
      </c>
      <c r="F277">
        <v>31</v>
      </c>
      <c r="G277" t="str">
        <f>VLOOKUP(A277,[1]inrix_key!$A:$C,3,FALSE)</f>
        <v>McMillan_E</v>
      </c>
      <c r="H277">
        <f t="shared" si="4"/>
        <v>-0.35580645161290259</v>
      </c>
    </row>
    <row r="278" spans="1:8" x14ac:dyDescent="0.25">
      <c r="A278">
        <v>484347992</v>
      </c>
      <c r="B278" t="s">
        <v>17</v>
      </c>
      <c r="C278">
        <v>-8.7566137566137496E-4</v>
      </c>
      <c r="D278">
        <v>-1.2960813741822701</v>
      </c>
      <c r="E278">
        <v>0.209705205993518</v>
      </c>
      <c r="F278">
        <v>21</v>
      </c>
      <c r="G278">
        <f>VLOOKUP(A278,[1]inrix_key!$A:$C,3,FALSE)</f>
        <v>0</v>
      </c>
      <c r="H278">
        <f t="shared" si="4"/>
        <v>-5.2539682539682497E-2</v>
      </c>
    </row>
    <row r="279" spans="1:8" x14ac:dyDescent="0.25">
      <c r="A279">
        <v>484366819</v>
      </c>
      <c r="B279" t="s">
        <v>17</v>
      </c>
      <c r="C279">
        <v>2.2331349206349198E-2</v>
      </c>
      <c r="D279">
        <v>2.0237848626346899</v>
      </c>
      <c r="E279">
        <v>5.1684813781722003E-2</v>
      </c>
      <c r="F279">
        <v>32</v>
      </c>
      <c r="G279" t="str">
        <f>VLOOKUP(A279,[1]inrix_key!$A:$C,3,FALSE)</f>
        <v>Pine_E</v>
      </c>
      <c r="H279">
        <f t="shared" si="4"/>
        <v>1.3398809523809518</v>
      </c>
    </row>
    <row r="280" spans="1:8" x14ac:dyDescent="0.25">
      <c r="A280">
        <v>484371307</v>
      </c>
      <c r="B280" t="s">
        <v>17</v>
      </c>
      <c r="C280">
        <v>-6.9739583333333303E-3</v>
      </c>
      <c r="D280">
        <v>-1.8701659955737799</v>
      </c>
      <c r="E280">
        <v>7.0929779115476904E-2</v>
      </c>
      <c r="F280">
        <v>32</v>
      </c>
      <c r="G280" t="str">
        <f>VLOOKUP(A280,[1]inrix_key!$A:$C,3,FALSE)</f>
        <v>Pine_E</v>
      </c>
      <c r="H280">
        <f t="shared" si="4"/>
        <v>-0.4184374999999998</v>
      </c>
    </row>
    <row r="281" spans="1:8" x14ac:dyDescent="0.25">
      <c r="A281">
        <v>1187327938</v>
      </c>
      <c r="B281" t="s">
        <v>17</v>
      </c>
      <c r="C281">
        <v>9.4680679563492007E-2</v>
      </c>
      <c r="D281">
        <v>5.73566952591771</v>
      </c>
      <c r="E281" s="1">
        <v>2.6080498966136601E-6</v>
      </c>
      <c r="F281">
        <v>32</v>
      </c>
      <c r="G281" t="str">
        <f>VLOOKUP(A281,[1]inrix_key!$A:$C,3,FALSE)</f>
        <v>Franklin_W</v>
      </c>
      <c r="H281">
        <f t="shared" si="4"/>
        <v>5.6808407738095203</v>
      </c>
    </row>
    <row r="282" spans="1:8" x14ac:dyDescent="0.25">
      <c r="A282">
        <v>1187333605</v>
      </c>
      <c r="B282" t="s">
        <v>17</v>
      </c>
      <c r="C282">
        <v>3.2181286549707602E-2</v>
      </c>
      <c r="D282">
        <v>5.7907804790097304</v>
      </c>
      <c r="E282" s="1">
        <v>1.2057730373921899E-6</v>
      </c>
      <c r="F282">
        <v>38</v>
      </c>
      <c r="G282" t="str">
        <f>VLOOKUP(A282,[1]inrix_key!$A:$C,3,FALSE)</f>
        <v>Colchester_N</v>
      </c>
      <c r="H282">
        <f t="shared" si="4"/>
        <v>1.9308771929824562</v>
      </c>
    </row>
    <row r="283" spans="1:8" x14ac:dyDescent="0.25">
      <c r="A283">
        <v>1187333665</v>
      </c>
      <c r="B283" t="s">
        <v>17</v>
      </c>
      <c r="C283">
        <v>1.1377842127842101E-2</v>
      </c>
      <c r="D283">
        <v>0.93124809792905805</v>
      </c>
      <c r="E283">
        <v>0.357928662867467</v>
      </c>
      <c r="F283">
        <v>37</v>
      </c>
      <c r="G283" t="str">
        <f>VLOOKUP(A283,[1]inrix_key!$A:$C,3,FALSE)</f>
        <v>Chinden_N</v>
      </c>
      <c r="H283">
        <f t="shared" si="4"/>
        <v>0.68267052767052605</v>
      </c>
    </row>
    <row r="284" spans="1:8" x14ac:dyDescent="0.25">
      <c r="A284">
        <v>1187334983</v>
      </c>
      <c r="B284" t="s">
        <v>17</v>
      </c>
      <c r="C284">
        <v>2.6258708112874701E-2</v>
      </c>
      <c r="D284">
        <v>4.3605855253590304</v>
      </c>
      <c r="E284">
        <v>1.0870097994847299E-4</v>
      </c>
      <c r="F284">
        <v>36</v>
      </c>
      <c r="G284" t="str">
        <f>VLOOKUP(A284,[1]inrix_key!$A:$C,3,FALSE)</f>
        <v>Wainwright_N</v>
      </c>
      <c r="H284">
        <f t="shared" si="4"/>
        <v>1.5755224867724822</v>
      </c>
    </row>
    <row r="285" spans="1:8" x14ac:dyDescent="0.25">
      <c r="A285">
        <v>1187335042</v>
      </c>
      <c r="B285" t="s">
        <v>17</v>
      </c>
      <c r="C285">
        <v>-4.22217813051146E-2</v>
      </c>
      <c r="D285">
        <v>-2.11698269549909</v>
      </c>
      <c r="E285">
        <v>4.1442099345967702E-2</v>
      </c>
      <c r="F285">
        <v>36</v>
      </c>
      <c r="G285" t="str">
        <f>VLOOKUP(A285,[1]inrix_key!$A:$C,3,FALSE)</f>
        <v>Ustick_N</v>
      </c>
      <c r="H285">
        <f t="shared" si="4"/>
        <v>-2.5333068783068762</v>
      </c>
    </row>
    <row r="286" spans="1:8" x14ac:dyDescent="0.25">
      <c r="A286">
        <v>1187377510</v>
      </c>
      <c r="B286" t="s">
        <v>17</v>
      </c>
      <c r="C286">
        <v>-1.3801353874883199E-2</v>
      </c>
      <c r="D286">
        <v>-1.3986591828569399</v>
      </c>
      <c r="E286">
        <v>0.17124356029896901</v>
      </c>
      <c r="F286">
        <v>34</v>
      </c>
      <c r="G286" t="str">
        <f>VLOOKUP(A286,[1]inrix_key!$A:$C,3,FALSE)</f>
        <v>EB_S</v>
      </c>
      <c r="H286">
        <f t="shared" si="4"/>
        <v>-0.82808123249299193</v>
      </c>
    </row>
    <row r="287" spans="1:8" x14ac:dyDescent="0.25">
      <c r="A287">
        <v>1187466896</v>
      </c>
      <c r="B287" t="s">
        <v>17</v>
      </c>
      <c r="C287">
        <v>2.44876283846872E-2</v>
      </c>
      <c r="D287">
        <v>4.25391034588149</v>
      </c>
      <c r="E287">
        <v>1.62769219262264E-4</v>
      </c>
      <c r="F287">
        <v>34</v>
      </c>
      <c r="G287" t="str">
        <f>VLOOKUP(A287,[1]inrix_key!$A:$C,3,FALSE)</f>
        <v>IslandWood_S</v>
      </c>
      <c r="H287">
        <f t="shared" si="4"/>
        <v>1.4692577030812319</v>
      </c>
    </row>
    <row r="288" spans="1:8" x14ac:dyDescent="0.25">
      <c r="A288">
        <v>1187466917</v>
      </c>
      <c r="B288" t="s">
        <v>17</v>
      </c>
      <c r="C288">
        <v>2.0748635912698401E-2</v>
      </c>
      <c r="D288">
        <v>2.1462960156622599</v>
      </c>
      <c r="E288">
        <v>3.9787082666196502E-2</v>
      </c>
      <c r="F288">
        <v>32</v>
      </c>
      <c r="G288" t="str">
        <f>VLOOKUP(A288,[1]inrix_key!$A:$C,3,FALSE)</f>
        <v>Colchester_S</v>
      </c>
      <c r="H288">
        <f t="shared" si="4"/>
        <v>1.2449181547619041</v>
      </c>
    </row>
    <row r="289" spans="1:8" x14ac:dyDescent="0.25">
      <c r="A289">
        <v>1187517040</v>
      </c>
      <c r="B289" t="s">
        <v>17</v>
      </c>
      <c r="C289">
        <v>1.3850446428571399E-2</v>
      </c>
      <c r="D289">
        <v>2.1935454025272998</v>
      </c>
      <c r="E289">
        <v>3.5893126437456797E-2</v>
      </c>
      <c r="F289">
        <v>32</v>
      </c>
      <c r="G289" t="str">
        <f>VLOOKUP(A289,[1]inrix_key!$A:$C,3,FALSE)</f>
        <v>Wainwright_S</v>
      </c>
      <c r="H289">
        <f t="shared" si="4"/>
        <v>0.83102678571428401</v>
      </c>
    </row>
    <row r="290" spans="1:8" x14ac:dyDescent="0.25">
      <c r="A290">
        <v>1187532837</v>
      </c>
      <c r="B290" t="s">
        <v>17</v>
      </c>
      <c r="C290">
        <v>-5.4971340388006997E-4</v>
      </c>
      <c r="D290">
        <v>-0.155671181666446</v>
      </c>
      <c r="E290">
        <v>0.87718659472997396</v>
      </c>
      <c r="F290">
        <v>36</v>
      </c>
      <c r="G290" t="str">
        <f>VLOOKUP(A290,[1]inrix_key!$A:$C,3,FALSE)</f>
        <v>HobbleCreek_N</v>
      </c>
      <c r="H290">
        <f t="shared" si="4"/>
        <v>-3.2982804232804197E-2</v>
      </c>
    </row>
    <row r="291" spans="1:8" x14ac:dyDescent="0.25">
      <c r="A291">
        <v>1187548947</v>
      </c>
      <c r="B291" t="s">
        <v>17</v>
      </c>
      <c r="C291">
        <v>-1.14586014586013E-3</v>
      </c>
      <c r="D291">
        <v>-0.14522488405495501</v>
      </c>
      <c r="E291">
        <v>0.88534338268493196</v>
      </c>
      <c r="F291">
        <v>37</v>
      </c>
      <c r="G291" t="str">
        <f>VLOOKUP(A291,[1]inrix_key!$A:$C,3,FALSE)</f>
        <v>Fairview_S</v>
      </c>
      <c r="H291">
        <f t="shared" si="4"/>
        <v>-6.8751608751607796E-2</v>
      </c>
    </row>
    <row r="292" spans="1:8" x14ac:dyDescent="0.25">
      <c r="A292">
        <v>1187548975</v>
      </c>
      <c r="B292" t="s">
        <v>17</v>
      </c>
      <c r="C292">
        <v>4.8271879021879002E-2</v>
      </c>
      <c r="D292">
        <v>7.2190151945841201</v>
      </c>
      <c r="E292" s="1">
        <v>1.69768324787778E-8</v>
      </c>
      <c r="F292">
        <v>37</v>
      </c>
      <c r="G292" t="str">
        <f>VLOOKUP(A292,[1]inrix_key!$A:$C,3,FALSE)</f>
        <v>Pine_S</v>
      </c>
      <c r="H292">
        <f t="shared" si="4"/>
        <v>2.8963127413127401</v>
      </c>
    </row>
    <row r="293" spans="1:8" x14ac:dyDescent="0.25">
      <c r="A293">
        <v>1187548987</v>
      </c>
      <c r="B293" t="s">
        <v>17</v>
      </c>
      <c r="C293">
        <v>8.2594246031745897E-3</v>
      </c>
      <c r="D293">
        <v>1.2374338014844</v>
      </c>
      <c r="E293">
        <v>0.22521746663078299</v>
      </c>
      <c r="F293">
        <v>32</v>
      </c>
      <c r="G293" t="str">
        <f>VLOOKUP(A293,[1]inrix_key!$A:$C,3,FALSE)</f>
        <v>McMillan_S</v>
      </c>
      <c r="H293">
        <f t="shared" si="4"/>
        <v>0.49556547619047536</v>
      </c>
    </row>
    <row r="294" spans="1:8" x14ac:dyDescent="0.25">
      <c r="A294">
        <v>1187549053</v>
      </c>
      <c r="B294" t="s">
        <v>17</v>
      </c>
      <c r="C294">
        <v>3.2255952380952302E-2</v>
      </c>
      <c r="D294">
        <v>4.5416868416494696</v>
      </c>
      <c r="E294" s="1">
        <v>7.9522993129236104E-5</v>
      </c>
      <c r="F294">
        <v>32</v>
      </c>
      <c r="G294" t="str">
        <f>VLOOKUP(A294,[1]inrix_key!$A:$C,3,FALSE)</f>
        <v>HobbleCreek_S</v>
      </c>
      <c r="H294">
        <f t="shared" si="4"/>
        <v>1.9353571428571381</v>
      </c>
    </row>
    <row r="295" spans="1:8" x14ac:dyDescent="0.25">
      <c r="A295">
        <v>1187577122</v>
      </c>
      <c r="B295" t="s">
        <v>17</v>
      </c>
      <c r="C295">
        <v>-9.7622448979591703E-3</v>
      </c>
      <c r="D295">
        <v>-1.3668648897325399</v>
      </c>
      <c r="E295">
        <v>0.18063827843918301</v>
      </c>
      <c r="F295">
        <v>35</v>
      </c>
      <c r="G295" t="str">
        <f>VLOOKUP(A295,[1]inrix_key!$A:$C,3,FALSE)</f>
        <v>Chinden_E</v>
      </c>
      <c r="H295">
        <f t="shared" si="4"/>
        <v>-0.58573469387755017</v>
      </c>
    </row>
    <row r="296" spans="1:8" x14ac:dyDescent="0.25">
      <c r="A296">
        <v>1187579027</v>
      </c>
      <c r="B296" t="s">
        <v>17</v>
      </c>
      <c r="C296">
        <v>6.5029441884280597E-3</v>
      </c>
      <c r="D296">
        <v>0.57497161943747599</v>
      </c>
      <c r="E296">
        <v>0.56959788381648202</v>
      </c>
      <c r="F296">
        <v>31</v>
      </c>
      <c r="G296" t="str">
        <f>VLOOKUP(A296,[1]inrix_key!$A:$C,3,FALSE)</f>
        <v>Fairview_E</v>
      </c>
      <c r="H296">
        <f t="shared" si="4"/>
        <v>0.39017665130568358</v>
      </c>
    </row>
    <row r="297" spans="1:8" x14ac:dyDescent="0.25">
      <c r="A297">
        <v>1187586311</v>
      </c>
      <c r="B297" t="s">
        <v>17</v>
      </c>
      <c r="C297">
        <v>-1.4445516945516799E-3</v>
      </c>
      <c r="D297">
        <v>-0.13663813956647999</v>
      </c>
      <c r="E297">
        <v>0.89207811319085495</v>
      </c>
      <c r="F297">
        <v>37</v>
      </c>
      <c r="G297" t="str">
        <f>VLOOKUP(A297,[1]inrix_key!$A:$C,3,FALSE)</f>
        <v>EB_W</v>
      </c>
      <c r="H297">
        <f t="shared" si="4"/>
        <v>-8.66731016731008E-2</v>
      </c>
    </row>
    <row r="298" spans="1:8" x14ac:dyDescent="0.25">
      <c r="A298">
        <v>1187612015</v>
      </c>
      <c r="B298" t="s">
        <v>17</v>
      </c>
      <c r="C298">
        <v>5.5483405483405402E-3</v>
      </c>
      <c r="D298">
        <v>0.89168742275673796</v>
      </c>
      <c r="E298">
        <v>0.37921666170673102</v>
      </c>
      <c r="F298">
        <v>33</v>
      </c>
      <c r="G298" t="str">
        <f>VLOOKUP(A298,[1]inrix_key!$A:$C,3,FALSE)</f>
        <v>Chinden_W</v>
      </c>
      <c r="H298">
        <f t="shared" si="4"/>
        <v>0.33290043290043242</v>
      </c>
    </row>
    <row r="299" spans="1:8" x14ac:dyDescent="0.25">
      <c r="A299">
        <v>1187635580</v>
      </c>
      <c r="B299" t="s">
        <v>17</v>
      </c>
      <c r="C299">
        <v>-2.3033939014202101E-2</v>
      </c>
      <c r="D299">
        <v>-2.20104032356612</v>
      </c>
      <c r="E299">
        <v>3.40504360191623E-2</v>
      </c>
      <c r="F299">
        <v>38</v>
      </c>
      <c r="G299" t="str">
        <f>VLOOKUP(A299,[1]inrix_key!$A:$C,3,FALSE)</f>
        <v>WB_S</v>
      </c>
      <c r="H299">
        <f t="shared" si="4"/>
        <v>-1.3820363408521261</v>
      </c>
    </row>
    <row r="300" spans="1:8" x14ac:dyDescent="0.25">
      <c r="A300">
        <v>1187636735</v>
      </c>
      <c r="B300" t="s">
        <v>17</v>
      </c>
      <c r="C300">
        <v>7.1813725490195999E-3</v>
      </c>
      <c r="D300">
        <v>0.596651161669143</v>
      </c>
      <c r="E300">
        <v>0.55481179367954703</v>
      </c>
      <c r="F300">
        <v>34</v>
      </c>
      <c r="G300" t="str">
        <f>VLOOKUP(A300,[1]inrix_key!$A:$C,3,FALSE)</f>
        <v>WB_E</v>
      </c>
      <c r="H300">
        <f t="shared" si="4"/>
        <v>0.43088235294117599</v>
      </c>
    </row>
    <row r="301" spans="1:8" x14ac:dyDescent="0.25">
      <c r="A301">
        <v>1187654588</v>
      </c>
      <c r="B301" t="s">
        <v>17</v>
      </c>
      <c r="C301">
        <v>1.69684684684684E-2</v>
      </c>
      <c r="D301">
        <v>2.38628075411689</v>
      </c>
      <c r="E301">
        <v>2.2399801612900599E-2</v>
      </c>
      <c r="F301">
        <v>37</v>
      </c>
      <c r="G301" t="str">
        <f>VLOOKUP(A301,[1]inrix_key!$A:$C,3,FALSE)</f>
        <v>Franklin_N</v>
      </c>
      <c r="H301">
        <f t="shared" si="4"/>
        <v>1.018108108108104</v>
      </c>
    </row>
    <row r="302" spans="1:8" x14ac:dyDescent="0.25">
      <c r="A302">
        <v>1187654609</v>
      </c>
      <c r="B302" t="s">
        <v>17</v>
      </c>
      <c r="C302">
        <v>7.4090519090519004E-3</v>
      </c>
      <c r="D302">
        <v>0.97619000535592404</v>
      </c>
      <c r="E302">
        <v>0.33548480886544502</v>
      </c>
      <c r="F302">
        <v>37</v>
      </c>
      <c r="G302" t="str">
        <f>VLOOKUP(A302,[1]inrix_key!$A:$C,3,FALSE)</f>
        <v>Pine_N</v>
      </c>
      <c r="H302">
        <f t="shared" si="4"/>
        <v>0.44454311454311402</v>
      </c>
    </row>
    <row r="309" spans="5:5" x14ac:dyDescent="0.25">
      <c r="E309" s="1"/>
    </row>
    <row r="320" spans="5:5" x14ac:dyDescent="0.25">
      <c r="E320" s="1"/>
    </row>
    <row r="325" spans="5:5" x14ac:dyDescent="0.25">
      <c r="E325" s="1"/>
    </row>
    <row r="326" spans="5:5" x14ac:dyDescent="0.25">
      <c r="E326" s="1"/>
    </row>
    <row r="342" spans="5:5" x14ac:dyDescent="0.25">
      <c r="E342" s="1"/>
    </row>
    <row r="354" spans="5:5" x14ac:dyDescent="0.25">
      <c r="E354" s="1"/>
    </row>
    <row r="366" spans="5:5" x14ac:dyDescent="0.25">
      <c r="E366" s="1"/>
    </row>
    <row r="374" spans="5:5" x14ac:dyDescent="0.25">
      <c r="E374" s="1"/>
    </row>
    <row r="385" spans="5:5" x14ac:dyDescent="0.25">
      <c r="E385" s="1"/>
    </row>
    <row r="386" spans="5:5" x14ac:dyDescent="0.25">
      <c r="E386" s="1"/>
    </row>
    <row r="393" spans="5:5" x14ac:dyDescent="0.25">
      <c r="E393" s="1"/>
    </row>
    <row r="394" spans="5:5" x14ac:dyDescent="0.25">
      <c r="E394" s="1"/>
    </row>
    <row r="400" spans="5:5" x14ac:dyDescent="0.25">
      <c r="E400" s="1"/>
    </row>
  </sheetData>
  <autoFilter ref="A1:H406" xr:uid="{68C14E14-695E-4FC3-85C8-6BCDECD1CFCB}">
    <sortState xmlns:xlrd2="http://schemas.microsoft.com/office/spreadsheetml/2017/richdata2" ref="A2:H406">
      <sortCondition ref="B1:B40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t-test-jan24-jan25</vt:lpstr>
      <vt:lpstr>t-test-sep24-nov24</vt:lpstr>
      <vt:lpstr>t-test-sep24-aug25</vt:lpstr>
      <vt:lpstr>t-test-may25-jul25</vt:lpstr>
      <vt:lpstr>t-test-apr25-aug25</vt:lpstr>
      <vt:lpstr>t-test-apr23-aug23-sat-sun</vt:lpstr>
      <vt:lpstr>t-test-aprmay23-augsep23-sat-su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Regan Hansen</cp:lastModifiedBy>
  <dcterms:created xsi:type="dcterms:W3CDTF">2025-09-24T22:41:05Z</dcterms:created>
  <dcterms:modified xsi:type="dcterms:W3CDTF">2025-09-29T15:29:15Z</dcterms:modified>
</cp:coreProperties>
</file>