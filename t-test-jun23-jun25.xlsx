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hansen\Documents\Python\Inrix\"/>
    </mc:Choice>
  </mc:AlternateContent>
  <xr:revisionPtr revIDLastSave="0" documentId="8_{ECAB16B5-7E39-42B3-8ABF-D1A6C063627F}" xr6:coauthVersionLast="47" xr6:coauthVersionMax="47" xr10:uidLastSave="{00000000-0000-0000-0000-000000000000}"/>
  <bookViews>
    <workbookView xWindow="20175" yWindow="-14475" windowWidth="21600" windowHeight="11295" xr2:uid="{02AB7F8F-0C50-4C15-A642-4D4868B99AF1}"/>
  </bookViews>
  <sheets>
    <sheet name="t-test-jun23-jun25" sheetId="1" r:id="rId1"/>
  </sheets>
  <externalReferences>
    <externalReference r:id="rId2"/>
  </externalReferences>
  <definedNames>
    <definedName name="_xlnm._FilterDatabase" localSheetId="0" hidden="1">'t-test-jun23-jun25'!$A$1:$G$517</definedName>
  </definedNames>
  <calcPr calcId="0"/>
</workbook>
</file>

<file path=xl/calcChain.xml><?xml version="1.0" encoding="utf-8"?>
<calcChain xmlns="http://schemas.openxmlformats.org/spreadsheetml/2006/main">
  <c r="G3" i="1" l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59" i="1"/>
  <c r="G60" i="1"/>
  <c r="G61" i="1"/>
  <c r="G62" i="1"/>
  <c r="G63" i="1"/>
  <c r="G64" i="1"/>
  <c r="G65" i="1"/>
  <c r="G66" i="1"/>
  <c r="G67" i="1"/>
  <c r="G68" i="1"/>
  <c r="G69" i="1"/>
  <c r="G70" i="1"/>
  <c r="G71" i="1"/>
  <c r="G72" i="1"/>
  <c r="G73" i="1"/>
  <c r="G74" i="1"/>
  <c r="G75" i="1"/>
  <c r="G76" i="1"/>
  <c r="G77" i="1"/>
  <c r="G78" i="1"/>
  <c r="G79" i="1"/>
  <c r="G80" i="1"/>
  <c r="G81" i="1"/>
  <c r="G82" i="1"/>
  <c r="G83" i="1"/>
  <c r="G84" i="1"/>
  <c r="G85" i="1"/>
  <c r="G86" i="1"/>
  <c r="G87" i="1"/>
  <c r="G88" i="1"/>
  <c r="G89" i="1"/>
  <c r="G90" i="1"/>
  <c r="G91" i="1"/>
  <c r="G92" i="1"/>
  <c r="G93" i="1"/>
  <c r="G94" i="1"/>
  <c r="G95" i="1"/>
  <c r="G96" i="1"/>
  <c r="G97" i="1"/>
  <c r="G98" i="1"/>
  <c r="G99" i="1"/>
  <c r="G100" i="1"/>
  <c r="G101" i="1"/>
  <c r="G102" i="1"/>
  <c r="G103" i="1"/>
  <c r="G104" i="1"/>
  <c r="G105" i="1"/>
  <c r="G106" i="1"/>
  <c r="G107" i="1"/>
  <c r="G108" i="1"/>
  <c r="G109" i="1"/>
  <c r="G110" i="1"/>
  <c r="G111" i="1"/>
  <c r="G112" i="1"/>
  <c r="G113" i="1"/>
  <c r="G114" i="1"/>
  <c r="G115" i="1"/>
  <c r="G116" i="1"/>
  <c r="G117" i="1"/>
  <c r="G118" i="1"/>
  <c r="G119" i="1"/>
  <c r="G120" i="1"/>
  <c r="G121" i="1"/>
  <c r="G122" i="1"/>
  <c r="G123" i="1"/>
  <c r="G124" i="1"/>
  <c r="G125" i="1"/>
  <c r="G126" i="1"/>
  <c r="G127" i="1"/>
  <c r="G128" i="1"/>
  <c r="G129" i="1"/>
  <c r="G130" i="1"/>
  <c r="G131" i="1"/>
  <c r="G132" i="1"/>
  <c r="G133" i="1"/>
  <c r="G134" i="1"/>
  <c r="G135" i="1"/>
  <c r="G136" i="1"/>
  <c r="G137" i="1"/>
  <c r="G138" i="1"/>
  <c r="G139" i="1"/>
  <c r="G140" i="1"/>
  <c r="G141" i="1"/>
  <c r="G142" i="1"/>
  <c r="G143" i="1"/>
  <c r="G144" i="1"/>
  <c r="G145" i="1"/>
  <c r="G146" i="1"/>
  <c r="G147" i="1"/>
  <c r="G148" i="1"/>
  <c r="G149" i="1"/>
  <c r="G150" i="1"/>
  <c r="G151" i="1"/>
  <c r="G152" i="1"/>
  <c r="G153" i="1"/>
  <c r="G154" i="1"/>
  <c r="G155" i="1"/>
  <c r="G156" i="1"/>
  <c r="G157" i="1"/>
  <c r="G158" i="1"/>
  <c r="G159" i="1"/>
  <c r="G160" i="1"/>
  <c r="G161" i="1"/>
  <c r="G162" i="1"/>
  <c r="G163" i="1"/>
  <c r="G164" i="1"/>
  <c r="G165" i="1"/>
  <c r="G166" i="1"/>
  <c r="G167" i="1"/>
  <c r="G168" i="1"/>
  <c r="G169" i="1"/>
  <c r="G170" i="1"/>
  <c r="G171" i="1"/>
  <c r="G172" i="1"/>
  <c r="G173" i="1"/>
  <c r="G174" i="1"/>
  <c r="G175" i="1"/>
  <c r="G176" i="1"/>
  <c r="G177" i="1"/>
  <c r="G178" i="1"/>
  <c r="G179" i="1"/>
  <c r="G180" i="1"/>
  <c r="G181" i="1"/>
  <c r="G182" i="1"/>
  <c r="G183" i="1"/>
  <c r="G184" i="1"/>
  <c r="G185" i="1"/>
  <c r="G186" i="1"/>
  <c r="G187" i="1"/>
  <c r="G188" i="1"/>
  <c r="G189" i="1"/>
  <c r="G190" i="1"/>
  <c r="G191" i="1"/>
  <c r="G192" i="1"/>
  <c r="G193" i="1"/>
  <c r="G194" i="1"/>
  <c r="G195" i="1"/>
  <c r="G196" i="1"/>
  <c r="G197" i="1"/>
  <c r="G198" i="1"/>
  <c r="G199" i="1"/>
  <c r="G200" i="1"/>
  <c r="G201" i="1"/>
  <c r="G202" i="1"/>
  <c r="G203" i="1"/>
  <c r="G204" i="1"/>
  <c r="G205" i="1"/>
  <c r="G206" i="1"/>
  <c r="G207" i="1"/>
  <c r="G208" i="1"/>
  <c r="G209" i="1"/>
  <c r="G210" i="1"/>
  <c r="G211" i="1"/>
  <c r="G212" i="1"/>
  <c r="G213" i="1"/>
  <c r="G214" i="1"/>
  <c r="G215" i="1"/>
  <c r="G216" i="1"/>
  <c r="G217" i="1"/>
  <c r="G218" i="1"/>
  <c r="G219" i="1"/>
  <c r="G220" i="1"/>
  <c r="G221" i="1"/>
  <c r="G222" i="1"/>
  <c r="G223" i="1"/>
  <c r="G224" i="1"/>
  <c r="G225" i="1"/>
  <c r="G226" i="1"/>
  <c r="G227" i="1"/>
  <c r="G228" i="1"/>
  <c r="G229" i="1"/>
  <c r="G230" i="1"/>
  <c r="G231" i="1"/>
  <c r="G232" i="1"/>
  <c r="G233" i="1"/>
  <c r="G234" i="1"/>
  <c r="G235" i="1"/>
  <c r="G236" i="1"/>
  <c r="G237" i="1"/>
  <c r="G238" i="1"/>
  <c r="G239" i="1"/>
  <c r="G240" i="1"/>
  <c r="G241" i="1"/>
  <c r="G242" i="1"/>
  <c r="G243" i="1"/>
  <c r="G244" i="1"/>
  <c r="G245" i="1"/>
  <c r="G246" i="1"/>
  <c r="G247" i="1"/>
  <c r="G248" i="1"/>
  <c r="G249" i="1"/>
  <c r="G250" i="1"/>
  <c r="G251" i="1"/>
  <c r="G252" i="1"/>
  <c r="G253" i="1"/>
  <c r="G254" i="1"/>
  <c r="G255" i="1"/>
  <c r="G256" i="1"/>
  <c r="G257" i="1"/>
  <c r="G258" i="1"/>
  <c r="G259" i="1"/>
  <c r="G260" i="1"/>
  <c r="G261" i="1"/>
  <c r="G262" i="1"/>
  <c r="G263" i="1"/>
  <c r="G264" i="1"/>
  <c r="G265" i="1"/>
  <c r="G266" i="1"/>
  <c r="G267" i="1"/>
  <c r="G268" i="1"/>
  <c r="G269" i="1"/>
  <c r="G270" i="1"/>
  <c r="G271" i="1"/>
  <c r="G272" i="1"/>
  <c r="G273" i="1"/>
  <c r="G274" i="1"/>
  <c r="G275" i="1"/>
  <c r="G276" i="1"/>
  <c r="G277" i="1"/>
  <c r="G278" i="1"/>
  <c r="G279" i="1"/>
  <c r="G280" i="1"/>
  <c r="G281" i="1"/>
  <c r="G282" i="1"/>
  <c r="G283" i="1"/>
  <c r="G284" i="1"/>
  <c r="G285" i="1"/>
  <c r="G286" i="1"/>
  <c r="G287" i="1"/>
  <c r="G288" i="1"/>
  <c r="G289" i="1"/>
  <c r="G290" i="1"/>
  <c r="G291" i="1"/>
  <c r="G292" i="1"/>
  <c r="G293" i="1"/>
  <c r="G294" i="1"/>
  <c r="G295" i="1"/>
  <c r="G296" i="1"/>
  <c r="G297" i="1"/>
  <c r="G298" i="1"/>
  <c r="G299" i="1"/>
  <c r="G300" i="1"/>
  <c r="G301" i="1"/>
  <c r="G302" i="1"/>
  <c r="G303" i="1"/>
  <c r="G304" i="1"/>
  <c r="G305" i="1"/>
  <c r="G306" i="1"/>
  <c r="G307" i="1"/>
  <c r="G308" i="1"/>
  <c r="G309" i="1"/>
  <c r="G310" i="1"/>
  <c r="G311" i="1"/>
  <c r="G312" i="1"/>
  <c r="G313" i="1"/>
  <c r="G314" i="1"/>
  <c r="G315" i="1"/>
  <c r="G316" i="1"/>
  <c r="G317" i="1"/>
  <c r="G318" i="1"/>
  <c r="G319" i="1"/>
  <c r="G320" i="1"/>
  <c r="G321" i="1"/>
  <c r="G322" i="1"/>
  <c r="G323" i="1"/>
  <c r="G324" i="1"/>
  <c r="G325" i="1"/>
  <c r="G326" i="1"/>
  <c r="G327" i="1"/>
  <c r="G328" i="1"/>
  <c r="G329" i="1"/>
  <c r="G330" i="1"/>
  <c r="G331" i="1"/>
  <c r="G332" i="1"/>
  <c r="G333" i="1"/>
  <c r="G334" i="1"/>
  <c r="G335" i="1"/>
  <c r="G336" i="1"/>
  <c r="G337" i="1"/>
  <c r="G338" i="1"/>
  <c r="G339" i="1"/>
  <c r="G340" i="1"/>
  <c r="G341" i="1"/>
  <c r="G342" i="1"/>
  <c r="G343" i="1"/>
  <c r="G344" i="1"/>
  <c r="G345" i="1"/>
  <c r="G346" i="1"/>
  <c r="G347" i="1"/>
  <c r="G348" i="1"/>
  <c r="G349" i="1"/>
  <c r="G350" i="1"/>
  <c r="G351" i="1"/>
  <c r="G352" i="1"/>
  <c r="G353" i="1"/>
  <c r="G354" i="1"/>
  <c r="G355" i="1"/>
  <c r="G356" i="1"/>
  <c r="G357" i="1"/>
  <c r="G358" i="1"/>
  <c r="G359" i="1"/>
  <c r="G360" i="1"/>
  <c r="G361" i="1"/>
  <c r="G362" i="1"/>
  <c r="G363" i="1"/>
  <c r="G364" i="1"/>
  <c r="G365" i="1"/>
  <c r="G366" i="1"/>
  <c r="G367" i="1"/>
  <c r="G368" i="1"/>
  <c r="G369" i="1"/>
  <c r="G370" i="1"/>
  <c r="G371" i="1"/>
  <c r="G372" i="1"/>
  <c r="G373" i="1"/>
  <c r="G374" i="1"/>
  <c r="G375" i="1"/>
  <c r="G376" i="1"/>
  <c r="G377" i="1"/>
  <c r="G378" i="1"/>
  <c r="G379" i="1"/>
  <c r="G380" i="1"/>
  <c r="G381" i="1"/>
  <c r="G382" i="1"/>
  <c r="G383" i="1"/>
  <c r="G384" i="1"/>
  <c r="G385" i="1"/>
  <c r="G386" i="1"/>
  <c r="G387" i="1"/>
  <c r="G388" i="1"/>
  <c r="G389" i="1"/>
  <c r="G390" i="1"/>
  <c r="G391" i="1"/>
  <c r="G392" i="1"/>
  <c r="G393" i="1"/>
  <c r="G394" i="1"/>
  <c r="G395" i="1"/>
  <c r="G396" i="1"/>
  <c r="G397" i="1"/>
  <c r="G398" i="1"/>
  <c r="G399" i="1"/>
  <c r="G400" i="1"/>
  <c r="G401" i="1"/>
  <c r="G402" i="1"/>
  <c r="G403" i="1"/>
  <c r="G404" i="1"/>
  <c r="G405" i="1"/>
  <c r="G406" i="1"/>
  <c r="G407" i="1"/>
  <c r="G408" i="1"/>
  <c r="G409" i="1"/>
  <c r="G410" i="1"/>
  <c r="G411" i="1"/>
  <c r="G412" i="1"/>
  <c r="G413" i="1"/>
  <c r="G414" i="1"/>
  <c r="G415" i="1"/>
  <c r="G416" i="1"/>
  <c r="G417" i="1"/>
  <c r="G418" i="1"/>
  <c r="G419" i="1"/>
  <c r="G420" i="1"/>
  <c r="G421" i="1"/>
  <c r="G422" i="1"/>
  <c r="G423" i="1"/>
  <c r="G424" i="1"/>
  <c r="G425" i="1"/>
  <c r="G426" i="1"/>
  <c r="G427" i="1"/>
  <c r="G428" i="1"/>
  <c r="G429" i="1"/>
  <c r="G430" i="1"/>
  <c r="G431" i="1"/>
  <c r="G432" i="1"/>
  <c r="G433" i="1"/>
  <c r="G434" i="1"/>
  <c r="G435" i="1"/>
  <c r="G436" i="1"/>
  <c r="G437" i="1"/>
  <c r="G438" i="1"/>
  <c r="G439" i="1"/>
  <c r="G440" i="1"/>
  <c r="G441" i="1"/>
  <c r="G442" i="1"/>
  <c r="G443" i="1"/>
  <c r="G444" i="1"/>
  <c r="G445" i="1"/>
  <c r="G446" i="1"/>
  <c r="G447" i="1"/>
  <c r="G448" i="1"/>
  <c r="G449" i="1"/>
  <c r="G450" i="1"/>
  <c r="G451" i="1"/>
  <c r="G452" i="1"/>
  <c r="G453" i="1"/>
  <c r="G454" i="1"/>
  <c r="G455" i="1"/>
  <c r="G456" i="1"/>
  <c r="G457" i="1"/>
  <c r="G458" i="1"/>
  <c r="G459" i="1"/>
  <c r="G460" i="1"/>
  <c r="G461" i="1"/>
  <c r="G462" i="1"/>
  <c r="G463" i="1"/>
  <c r="G464" i="1"/>
  <c r="G465" i="1"/>
  <c r="G466" i="1"/>
  <c r="G467" i="1"/>
  <c r="G468" i="1"/>
  <c r="G469" i="1"/>
  <c r="G470" i="1"/>
  <c r="G471" i="1"/>
  <c r="G472" i="1"/>
  <c r="G473" i="1"/>
  <c r="G474" i="1"/>
  <c r="G475" i="1"/>
  <c r="G476" i="1"/>
  <c r="G477" i="1"/>
  <c r="G478" i="1"/>
  <c r="G479" i="1"/>
  <c r="G480" i="1"/>
  <c r="G481" i="1"/>
  <c r="G482" i="1"/>
  <c r="G483" i="1"/>
  <c r="G484" i="1"/>
  <c r="G485" i="1"/>
  <c r="G486" i="1"/>
  <c r="G487" i="1"/>
  <c r="G488" i="1"/>
  <c r="G489" i="1"/>
  <c r="G490" i="1"/>
  <c r="G491" i="1"/>
  <c r="G492" i="1"/>
  <c r="G493" i="1"/>
  <c r="G494" i="1"/>
  <c r="G495" i="1"/>
  <c r="G496" i="1"/>
  <c r="G497" i="1"/>
  <c r="G498" i="1"/>
  <c r="G499" i="1"/>
  <c r="G500" i="1"/>
  <c r="G501" i="1"/>
  <c r="G502" i="1"/>
  <c r="G503" i="1"/>
  <c r="G504" i="1"/>
  <c r="G505" i="1"/>
  <c r="G506" i="1"/>
  <c r="G507" i="1"/>
  <c r="G508" i="1"/>
  <c r="G509" i="1"/>
  <c r="G510" i="1"/>
  <c r="G511" i="1"/>
  <c r="G512" i="1"/>
  <c r="G513" i="1"/>
  <c r="G514" i="1"/>
  <c r="G515" i="1"/>
  <c r="G516" i="1"/>
  <c r="G517" i="1"/>
  <c r="G2" i="1"/>
</calcChain>
</file>

<file path=xl/sharedStrings.xml><?xml version="1.0" encoding="utf-8"?>
<sst xmlns="http://schemas.openxmlformats.org/spreadsheetml/2006/main" count="1045" uniqueCount="539">
  <si>
    <t>Segment ID</t>
  </si>
  <si>
    <t>Group Label</t>
  </si>
  <si>
    <t>Avg Difference (min)</t>
  </si>
  <si>
    <t>T-stat</t>
  </si>
  <si>
    <t>P-value</t>
  </si>
  <si>
    <t>N bins</t>
  </si>
  <si>
    <t>Fri, 2:00PM-7:00PM</t>
  </si>
  <si>
    <t>Fri, 6:20AM-9:00AM</t>
  </si>
  <si>
    <t>Fri, 7:00PM-9:00PM</t>
  </si>
  <si>
    <t>0.019633208388262623</t>
  </si>
  <si>
    <t>Fri, 9:00AM-2:00PM</t>
  </si>
  <si>
    <t>0.010054474692637342</t>
  </si>
  <si>
    <t>Fri, 9:00PM-6:20AM</t>
  </si>
  <si>
    <t>0.16126661909425113</t>
  </si>
  <si>
    <t>Monâ€“Thu, 2:00PM-7:00PM</t>
  </si>
  <si>
    <t>3.8250337430048135e-09</t>
  </si>
  <si>
    <t>Monâ€“Thu, 6:20AM-9:00AM</t>
  </si>
  <si>
    <t>1.2606458446600204</t>
  </si>
  <si>
    <t>0.24295985597210307</t>
  </si>
  <si>
    <t>Monâ€“Thu, 7:00PM-9:00PM</t>
  </si>
  <si>
    <t>0.044293763332632324</t>
  </si>
  <si>
    <t>Monâ€“Thu, 9:00AM-2:00PM</t>
  </si>
  <si>
    <t>0.026233314846917783</t>
  </si>
  <si>
    <t>1.336302006650209</t>
  </si>
  <si>
    <t>0.1972350827500145</t>
  </si>
  <si>
    <t>Monâ€“Thu, 9:00PM-6:20AM</t>
  </si>
  <si>
    <t>2.954548984452336e-06</t>
  </si>
  <si>
    <t>0.4974810923703926</t>
  </si>
  <si>
    <t>0.037438430940889736</t>
  </si>
  <si>
    <t>8.93877323960593e-05</t>
  </si>
  <si>
    <t>2.989599636677678e-05</t>
  </si>
  <si>
    <t>0.44991818099496905</t>
  </si>
  <si>
    <t>0.010903362894343535</t>
  </si>
  <si>
    <t>2.631955014251927e-06</t>
  </si>
  <si>
    <t>0.2573953092317766</t>
  </si>
  <si>
    <t>0.5833719044316157</t>
  </si>
  <si>
    <t>0.11194850332758276</t>
  </si>
  <si>
    <t>0.12631029897955073</t>
  </si>
  <si>
    <t>0.6425327524731476</t>
  </si>
  <si>
    <t>0.7282480624826748</t>
  </si>
  <si>
    <t>0.018943988230038462</t>
  </si>
  <si>
    <t>0.018222859762287404</t>
  </si>
  <si>
    <t>0.010222618824695398</t>
  </si>
  <si>
    <t>0.15166666666666664</t>
  </si>
  <si>
    <t>3.281543929184516</t>
  </si>
  <si>
    <t>1.0419930492160945</t>
  </si>
  <si>
    <t>0.31640608395386594</t>
  </si>
  <si>
    <t>5.12013765950603e-05</t>
  </si>
  <si>
    <t>0.023625000000000007</t>
  </si>
  <si>
    <t>1.003703996241037</t>
  </si>
  <si>
    <t>0.3281336703359763</t>
  </si>
  <si>
    <t>0.022738095238095255</t>
  </si>
  <si>
    <t>0.5387468349653259</t>
  </si>
  <si>
    <t>0.6094528790511343</t>
  </si>
  <si>
    <t>0.057425864160598306</t>
  </si>
  <si>
    <t>0.22013939236702385</t>
  </si>
  <si>
    <t>0.8285468343350892</t>
  </si>
  <si>
    <t>3.768829741007201e-05</t>
  </si>
  <si>
    <t>0.017626838235294106</t>
  </si>
  <si>
    <t>0.19548014805314498</t>
  </si>
  <si>
    <t>0.15824692135618054</t>
  </si>
  <si>
    <t>1.9999820982281225</t>
  </si>
  <si>
    <t>1.7265814168868725</t>
  </si>
  <si>
    <t>0.10046685349639811</t>
  </si>
  <si>
    <t>2.6271333806248567</t>
  </si>
  <si>
    <t>0.9433216307777759</t>
  </si>
  <si>
    <t>2.791307856085241</t>
  </si>
  <si>
    <t>0.014424956783220044</t>
  </si>
  <si>
    <t>0.3977427309636085</t>
  </si>
  <si>
    <t>0.6931054081700305</t>
  </si>
  <si>
    <t>0.9831307744466351</t>
  </si>
  <si>
    <t>0.014166666666666642</t>
  </si>
  <si>
    <t>0.44524148881228853</t>
  </si>
  <si>
    <t>0.35467583929642776</t>
  </si>
  <si>
    <t>0.7332772963564602</t>
  </si>
  <si>
    <t>0.017172465334230027</t>
  </si>
  <si>
    <t>1.9281579881635451</t>
  </si>
  <si>
    <t>0.027211960538309335</t>
  </si>
  <si>
    <t>8.921884150399447e-07</t>
  </si>
  <si>
    <t>4.824422813860417e-06</t>
  </si>
  <si>
    <t>0.1718246135046844</t>
  </si>
  <si>
    <t>2.1938050829483905e-07</t>
  </si>
  <si>
    <t>1.9933004597515058e-13</t>
  </si>
  <si>
    <t>1.0838534873690349e-05</t>
  </si>
  <si>
    <t>0.012499999999999997</t>
  </si>
  <si>
    <t>0.5555555555555552</t>
  </si>
  <si>
    <t>0.6771710655658099</t>
  </si>
  <si>
    <t>0.23362554801682103</t>
  </si>
  <si>
    <t>0.8219608675865002</t>
  </si>
  <si>
    <t>0.012255871031206397</t>
  </si>
  <si>
    <t>0.21732400503798263</t>
  </si>
  <si>
    <t>8.260956333474517e-08</t>
  </si>
  <si>
    <t>1.0278057356593502</t>
  </si>
  <si>
    <t>0.33824060592941596</t>
  </si>
  <si>
    <t>0.2578316001143084</t>
  </si>
  <si>
    <t>0.1705236490263927</t>
  </si>
  <si>
    <t>0.26473152848765896</t>
  </si>
  <si>
    <t>0.7940668680963019</t>
  </si>
  <si>
    <t>0.4046426874651322</t>
  </si>
  <si>
    <t>1.1514584067992816e-05</t>
  </si>
  <si>
    <t>0.9736906465257349</t>
  </si>
  <si>
    <t>0.15849205488922422</t>
  </si>
  <si>
    <t>3.109873710284165e-05</t>
  </si>
  <si>
    <t>9.672979829852996e-06</t>
  </si>
  <si>
    <t>0.2757284629647967</t>
  </si>
  <si>
    <t>0.018124999999999995</t>
  </si>
  <si>
    <t>0.3464925714498797</t>
  </si>
  <si>
    <t>0.7391544795508231</t>
  </si>
  <si>
    <t>1.127281492869045e-09</t>
  </si>
  <si>
    <t>5.047670540089271e-07</t>
  </si>
  <si>
    <t>3.04069818354009e-07</t>
  </si>
  <si>
    <t>4.289794393721572</t>
  </si>
  <si>
    <t>0.023518518518518508</t>
  </si>
  <si>
    <t>0.6697791497547255</t>
  </si>
  <si>
    <t>0.5218572055724463</t>
  </si>
  <si>
    <t>0.029791666666666647</t>
  </si>
  <si>
    <t>1.187307466375695</t>
  </si>
  <si>
    <t>0.25356909302307634</t>
  </si>
  <si>
    <t>0.9709356766173771</t>
  </si>
  <si>
    <t>0.054178308823529406</t>
  </si>
  <si>
    <t>5.544783735663849</t>
  </si>
  <si>
    <t>2.3899293077476255e-05</t>
  </si>
  <si>
    <t>4.326293033923025</t>
  </si>
  <si>
    <t>6.815944493223508</t>
  </si>
  <si>
    <t>0.14994634954062092</t>
  </si>
  <si>
    <t>0.8823872515397397</t>
  </si>
  <si>
    <t>0.6594051834387112</t>
  </si>
  <si>
    <t>0.050416666666666686</t>
  </si>
  <si>
    <t>2.659102373450796</t>
  </si>
  <si>
    <t>0.015495102203431801</t>
  </si>
  <si>
    <t>3.006882281063098</t>
  </si>
  <si>
    <t>3.5182017287978455</t>
  </si>
  <si>
    <t>0.3771187063521463</t>
  </si>
  <si>
    <t>5.008141807266664</t>
  </si>
  <si>
    <t>0.015974264705882354</t>
  </si>
  <si>
    <t>1.697024730372857</t>
  </si>
  <si>
    <t>0.13350500347579386</t>
  </si>
  <si>
    <t>0.9653689302387164</t>
  </si>
  <si>
    <t>0.11843913639391089</t>
  </si>
  <si>
    <t>0.017499999999999998</t>
  </si>
  <si>
    <t>1.676094837605245</t>
  </si>
  <si>
    <t>0.11009760380603124</t>
  </si>
  <si>
    <t>0.2899986476649984</t>
  </si>
  <si>
    <t>0.18884098043020664</t>
  </si>
  <si>
    <t>0.7700830206264258</t>
  </si>
  <si>
    <t>0.4512398345354759</t>
  </si>
  <si>
    <t>0.017265303069255274</t>
  </si>
  <si>
    <t>0.8398492330293227</t>
  </si>
  <si>
    <t>0.41143675741479524</t>
  </si>
  <si>
    <t>0.12064916052873083</t>
  </si>
  <si>
    <t>0.5475933879302172</t>
  </si>
  <si>
    <t>0.41381662642928724</t>
  </si>
  <si>
    <t>0.6836421520893659</t>
  </si>
  <si>
    <t>7.652174173429763e-05</t>
  </si>
  <si>
    <t>0.47004196026268386</t>
  </si>
  <si>
    <t>0.027032300727637886</t>
  </si>
  <si>
    <t>0.14705891719994246</t>
  </si>
  <si>
    <t>9.711303259927005e-08</t>
  </si>
  <si>
    <t>0.013250000000000001</t>
  </si>
  <si>
    <t>0.7680225545882582</t>
  </si>
  <si>
    <t>0.4519142171186258</t>
  </si>
  <si>
    <t>0.8476225079606986</t>
  </si>
  <si>
    <t>0.18531250000000002</t>
  </si>
  <si>
    <t>2.6410464421315676</t>
  </si>
  <si>
    <t>0.6612217029221868</t>
  </si>
  <si>
    <t>0.9185408420042185</t>
  </si>
  <si>
    <t>0.013461516937380022</t>
  </si>
  <si>
    <t>0.8259176182625108</t>
  </si>
  <si>
    <t>0.6951032845460292</t>
  </si>
  <si>
    <t>0.6458847284335014</t>
  </si>
  <si>
    <t>2.144681273730939</t>
  </si>
  <si>
    <t>0.025937500000000016</t>
  </si>
  <si>
    <t>1.0026649502812837</t>
  </si>
  <si>
    <t>0.3494154403122208</t>
  </si>
  <si>
    <t>0.011092612651745867</t>
  </si>
  <si>
    <t>0.024592105263157894</t>
  </si>
  <si>
    <t>0.054820837386278125</t>
  </si>
  <si>
    <t>0.054119047619047615</t>
  </si>
  <si>
    <t>2.7023856294813378</t>
  </si>
  <si>
    <t>0.026974206611037693</t>
  </si>
  <si>
    <t>0.019263014015062675</t>
  </si>
  <si>
    <t>0.7842413016942641</t>
  </si>
  <si>
    <t>0.44256679579244684</t>
  </si>
  <si>
    <t>2.1156117945104724</t>
  </si>
  <si>
    <t>0.035606713850779334</t>
  </si>
  <si>
    <t>0.21383954421860457</t>
  </si>
  <si>
    <t>0.036562499999999984</t>
  </si>
  <si>
    <t>0.6969384944316139</t>
  </si>
  <si>
    <t>0.5083179875542327</t>
  </si>
  <si>
    <t>0.017326839569792873</t>
  </si>
  <si>
    <t>0.020859375000000013</t>
  </si>
  <si>
    <t>1.0144347819258854</t>
  </si>
  <si>
    <t>0.3441484905030429</t>
  </si>
  <si>
    <t>0.1649738032075946</t>
  </si>
  <si>
    <t>0.5609557647751507</t>
  </si>
  <si>
    <t>2.3604503977969613</t>
  </si>
  <si>
    <t>0.018460843394329563</t>
  </si>
  <si>
    <t>0.11474239216882329</t>
  </si>
  <si>
    <t>2.641371695749891</t>
  </si>
  <si>
    <t>0.014791666666666661</t>
  </si>
  <si>
    <t>1.4788457714103322</t>
  </si>
  <si>
    <t>0.18271427667978915</t>
  </si>
  <si>
    <t>0.5655950640960086</t>
  </si>
  <si>
    <t>2.208654951331224e-05</t>
  </si>
  <si>
    <t>3.6847432353670604e-07</t>
  </si>
  <si>
    <t>1.5349877583720624</t>
  </si>
  <si>
    <t>0.15915845172945323</t>
  </si>
  <si>
    <t>1.2251873744691432e-07</t>
  </si>
  <si>
    <t>0.8846148075540914</t>
  </si>
  <si>
    <t>1.3080926315435522e-05</t>
  </si>
  <si>
    <t>0.020379929368782985</t>
  </si>
  <si>
    <t>0.9799709075455129</t>
  </si>
  <si>
    <t>0.35974746866413576</t>
  </si>
  <si>
    <t>2.8254223270675736</t>
  </si>
  <si>
    <t>1.2991156365613355e-06</t>
  </si>
  <si>
    <t>0.1068833872618205</t>
  </si>
  <si>
    <t>5.665016801598126e-06</t>
  </si>
  <si>
    <t>0.029041033173240353</t>
  </si>
  <si>
    <t>4.92403644782124e-07</t>
  </si>
  <si>
    <t>2.5564727907910766e-07</t>
  </si>
  <si>
    <t>9.353648725202788e-05</t>
  </si>
  <si>
    <t>1.3002026962582996e-05</t>
  </si>
  <si>
    <t>8.428644179747816e-05</t>
  </si>
  <si>
    <t>0.019463229334397418</t>
  </si>
  <si>
    <t>0.6956345055499746</t>
  </si>
  <si>
    <t>3.2045609400924975e-05</t>
  </si>
  <si>
    <t>0.4613032275094857</t>
  </si>
  <si>
    <t>2.7004278366386074e-08</t>
  </si>
  <si>
    <t>3.7099518849962204e-06</t>
  </si>
  <si>
    <t>0.2385749191566562</t>
  </si>
  <si>
    <t>0.8139894763987756</t>
  </si>
  <si>
    <t>2.351215504364457e-07</t>
  </si>
  <si>
    <t>0.019375000000000014</t>
  </si>
  <si>
    <t>1.2541905841065655</t>
  </si>
  <si>
    <t>0.22498399248387127</t>
  </si>
  <si>
    <t>0.013124999999999998</t>
  </si>
  <si>
    <t>0.7435916440135334</t>
  </si>
  <si>
    <t>0.4813311933517863</t>
  </si>
  <si>
    <t>0.2061970296682865</t>
  </si>
  <si>
    <t>0.9566445638016219</t>
  </si>
  <si>
    <t>0.031879595588235304</t>
  </si>
  <si>
    <t>4.820583781757045</t>
  </si>
  <si>
    <t>8.1477203112182e-07</t>
  </si>
  <si>
    <t>0.043125000000000004</t>
  </si>
  <si>
    <t>2.6126145804919703</t>
  </si>
  <si>
    <t>0.017117859584020668</t>
  </si>
  <si>
    <t>0.022533987748060327</t>
  </si>
  <si>
    <t>2.3375811674219396</t>
  </si>
  <si>
    <t>0.4016438618689767</t>
  </si>
  <si>
    <t>1.1318477355009982</t>
  </si>
  <si>
    <t>0.27178185578314884</t>
  </si>
  <si>
    <t>0.48561702442917115</t>
  </si>
  <si>
    <t>0.6420693978810186</t>
  </si>
  <si>
    <t>1.2723735141376968e-07</t>
  </si>
  <si>
    <t>0.019375000000000003</t>
  </si>
  <si>
    <t>0.6658917122630494</t>
  </si>
  <si>
    <t>10.161434634191199</t>
  </si>
  <si>
    <t>1.9248808283183554e-05</t>
  </si>
  <si>
    <t>6.55353446952533e-05</t>
  </si>
  <si>
    <t>1.8324775384948433</t>
  </si>
  <si>
    <t>0.8534675440739942</t>
  </si>
  <si>
    <t>0.11741512748149936</t>
  </si>
  <si>
    <t>0.9098290672891602</t>
  </si>
  <si>
    <t>0.10564702695734707</t>
  </si>
  <si>
    <t>0.015189133623675206</t>
  </si>
  <si>
    <t>1.3451530251681907</t>
  </si>
  <si>
    <t>0.1944125632548171</t>
  </si>
  <si>
    <t>0.017982534579283786</t>
  </si>
  <si>
    <t>2.4739476000381426</t>
  </si>
  <si>
    <t>0.8677055488071337</t>
  </si>
  <si>
    <t>4.157609203101499</t>
  </si>
  <si>
    <t>0.034726906218625564</t>
  </si>
  <si>
    <t>0.9072814396467335</t>
  </si>
  <si>
    <t>0.4529085931304154</t>
  </si>
  <si>
    <t>0.6532593516612077</t>
  </si>
  <si>
    <t>3.157783815148107e-05</t>
  </si>
  <si>
    <t>0.4312302251028475</t>
  </si>
  <si>
    <t>0.6842603347873633</t>
  </si>
  <si>
    <t>0.013988970588235297</t>
  </si>
  <si>
    <t>1.7522585488456497</t>
  </si>
  <si>
    <t>0.12318640090534676</t>
  </si>
  <si>
    <t>0.026423352573352578</t>
  </si>
  <si>
    <t>1.6251524209030586</t>
  </si>
  <si>
    <t>0.12642207251299487</t>
  </si>
  <si>
    <t>0.041244267836566595</t>
  </si>
  <si>
    <t>3.1174525775513766</t>
  </si>
  <si>
    <t>4.4713624595225285</t>
  </si>
  <si>
    <t>0.22540333075851657</t>
  </si>
  <si>
    <t>0.6986403481780343</t>
  </si>
  <si>
    <t>0.3334572541704642</t>
  </si>
  <si>
    <t>3.7859023182571123</t>
  </si>
  <si>
    <t>2.622362520105047</t>
  </si>
  <si>
    <t>0.016764783176434567</t>
  </si>
  <si>
    <t>0.032004589062638845</t>
  </si>
  <si>
    <t>1.5903854414212897</t>
  </si>
  <si>
    <t>0.15577344790834174</t>
  </si>
  <si>
    <t>0.4245798530998868</t>
  </si>
  <si>
    <t>0.3323010623634982</t>
  </si>
  <si>
    <t>0.4067026229883176</t>
  </si>
  <si>
    <t>0.13018795304154815</t>
  </si>
  <si>
    <t>3.550170704133278e-05</t>
  </si>
  <si>
    <t>2.053605232366888e-05</t>
  </si>
  <si>
    <t>0.010549999999999993</t>
  </si>
  <si>
    <t>0.3532760607023572</t>
  </si>
  <si>
    <t>0.7320150292255316</t>
  </si>
  <si>
    <t>0.048918145512489186</t>
  </si>
  <si>
    <t>2.924366363144281e-05</t>
  </si>
  <si>
    <t>0.4020286040815704</t>
  </si>
  <si>
    <t>0.012738095238095243</t>
  </si>
  <si>
    <t>1.9650401520898924</t>
  </si>
  <si>
    <t>0.12794920513887767</t>
  </si>
  <si>
    <t>5.5052885780120096e-06</t>
  </si>
  <si>
    <t>1.1368923918127318</t>
  </si>
  <si>
    <t>0.2849463360553508</t>
  </si>
  <si>
    <t>0.14920772061657206</t>
  </si>
  <si>
    <t>2.307302839777387e-07</t>
  </si>
  <si>
    <t>0.4148435326804044</t>
  </si>
  <si>
    <t>0.19245218517158882</t>
  </si>
  <si>
    <t>0.6305512909381109</t>
  </si>
  <si>
    <t>0.060968547054160126</t>
  </si>
  <si>
    <t>0.39398374629732313</t>
  </si>
  <si>
    <t>0.11435301920301917</t>
  </si>
  <si>
    <t>3.9429279628816527</t>
  </si>
  <si>
    <t>0.023305458224561374</t>
  </si>
  <si>
    <t>0.5006681998899576</t>
  </si>
  <si>
    <t>2.294980189868855e-05</t>
  </si>
  <si>
    <t>0.18242918369063846</t>
  </si>
  <si>
    <t>6.79705485249967e-08</t>
  </si>
  <si>
    <t>0.019905087839105086</t>
  </si>
  <si>
    <t>6.894091836109849e-08</t>
  </si>
  <si>
    <t>0.014920185947845735</t>
  </si>
  <si>
    <t>0.14698643098625574</t>
  </si>
  <si>
    <t>8.414800505497726e-07</t>
  </si>
  <si>
    <t>9.246347674099675e-05</t>
  </si>
  <si>
    <t>0.1555201551368811</t>
  </si>
  <si>
    <t>0.026770833333333327</t>
  </si>
  <si>
    <t>1.3080592507169508</t>
  </si>
  <si>
    <t>0.23216771511051856</t>
  </si>
  <si>
    <t>0.5527561083810615</t>
  </si>
  <si>
    <t>0.2641255506362818</t>
  </si>
  <si>
    <t>0.7946835200492028</t>
  </si>
  <si>
    <t>0.016702205882352966</t>
  </si>
  <si>
    <t>1.3912971715240323</t>
  </si>
  <si>
    <t>0.18021323256965693</t>
  </si>
  <si>
    <t>0.6066531769493384</t>
  </si>
  <si>
    <t>0.7630706759119381</t>
  </si>
  <si>
    <t>3.2317107971495873</t>
  </si>
  <si>
    <t>0.37211673505496423</t>
  </si>
  <si>
    <t>0.024355470079629512</t>
  </si>
  <si>
    <t>0.13991386140370804</t>
  </si>
  <si>
    <t>0.11814338235294117</t>
  </si>
  <si>
    <t>4.940793821508464</t>
  </si>
  <si>
    <t>9.075013393837314e-05</t>
  </si>
  <si>
    <t>0.2771011356233433</t>
  </si>
  <si>
    <t>0.7897069001917157</t>
  </si>
  <si>
    <t>0.017601648841354716</t>
  </si>
  <si>
    <t>2.131901211173425</t>
  </si>
  <si>
    <t>0.046286439767028405</t>
  </si>
  <si>
    <t>0.016311463819244358</t>
  </si>
  <si>
    <t>5.332267663400324e-05</t>
  </si>
  <si>
    <t>0.8661015560076102</t>
  </si>
  <si>
    <t>0.16513338335703043</t>
  </si>
  <si>
    <t>5.719319181060879e-06</t>
  </si>
  <si>
    <t>0.7209228927166556</t>
  </si>
  <si>
    <t>5.513834557511209</t>
  </si>
  <si>
    <t>2.556664217635199e-05</t>
  </si>
  <si>
    <t>0.7411641473979698</t>
  </si>
  <si>
    <t>4.1822994738689605</t>
  </si>
  <si>
    <t>0.1808419279545955</t>
  </si>
  <si>
    <t>6.078390459663351</t>
  </si>
  <si>
    <t>7.605704540721403e-06</t>
  </si>
  <si>
    <t>0.059352022058823534</t>
  </si>
  <si>
    <t>2.0582319694179487</t>
  </si>
  <si>
    <t>0.8494913661246236</t>
  </si>
  <si>
    <t>0.4010712321693949</t>
  </si>
  <si>
    <t>7.338234923812414</t>
  </si>
  <si>
    <t>5.895628334806992e-07</t>
  </si>
  <si>
    <t>0.4062500000000001</t>
  </si>
  <si>
    <t>3.6317950196748536</t>
  </si>
  <si>
    <t>0.2652651888347789</t>
  </si>
  <si>
    <t>6.240656477202312</t>
  </si>
  <si>
    <t>5.4072286630353475e-06</t>
  </si>
  <si>
    <t>0.2638958996940596</t>
  </si>
  <si>
    <t>0.5908172259288514</t>
  </si>
  <si>
    <t>0.5582349372555944</t>
  </si>
  <si>
    <t>0.028855493700439123</t>
  </si>
  <si>
    <t>0.025750000000000006</t>
  </si>
  <si>
    <t>3.5966723544786214</t>
  </si>
  <si>
    <t>0.8822563678298821</t>
  </si>
  <si>
    <t>0.40691245701792395</t>
  </si>
  <si>
    <t>0.8502824611989329</t>
  </si>
  <si>
    <t>1.8296111741970398</t>
  </si>
  <si>
    <t>0.038251573301714616</t>
  </si>
  <si>
    <t>0.013187820512820525</t>
  </si>
  <si>
    <t>1.952878672250926</t>
  </si>
  <si>
    <t>0.17860056513859637</t>
  </si>
  <si>
    <t>0.014761151960784313</t>
  </si>
  <si>
    <t>2.052485759333257</t>
  </si>
  <si>
    <t>0.054157534988033884</t>
  </si>
  <si>
    <t>0.5051169888118539</t>
  </si>
  <si>
    <t>0.010874999999999987</t>
  </si>
  <si>
    <t>2.1064436110849103</t>
  </si>
  <si>
    <t>0.5194102786873662</t>
  </si>
  <si>
    <t>0.7646645686090624</t>
  </si>
  <si>
    <t>0.3067616105840104</t>
  </si>
  <si>
    <t>0.11499009514032113</t>
  </si>
  <si>
    <t>0.016302506153976735</t>
  </si>
  <si>
    <t>2.0596300193998744</t>
  </si>
  <si>
    <t>6.806198075488635</t>
  </si>
  <si>
    <t>0.2518014476921173</t>
  </si>
  <si>
    <t>0.6461117521938834</t>
  </si>
  <si>
    <t>6.574921429799535e-07</t>
  </si>
  <si>
    <t>0.22698330923366977</t>
  </si>
  <si>
    <t>0.8255086445891319</t>
  </si>
  <si>
    <t>3.897267321137574e-05</t>
  </si>
  <si>
    <t>2.220916541635205</t>
  </si>
  <si>
    <t>0.038710702595126004</t>
  </si>
  <si>
    <t>0.6992585676213143</t>
  </si>
  <si>
    <t>0.10763740532093118</t>
  </si>
  <si>
    <t>2.4264040635074147</t>
  </si>
  <si>
    <t>0.025370100997034052</t>
  </si>
  <si>
    <t>0.021484375000000014</t>
  </si>
  <si>
    <t>0.44249411405914424</t>
  </si>
  <si>
    <t>0.6714815027395138</t>
  </si>
  <si>
    <t>3.777376100818583e-07</t>
  </si>
  <si>
    <t>4.1707219822863933e-07</t>
  </si>
  <si>
    <t>0.9090037123731841</t>
  </si>
  <si>
    <t>0.7197351248143737</t>
  </si>
  <si>
    <t>0.15562499999999999</t>
  </si>
  <si>
    <t>5.178677305487319</t>
  </si>
  <si>
    <t>0.15731952316613346</t>
  </si>
  <si>
    <t>0.012844579397736805</t>
  </si>
  <si>
    <t>0.10418554962153762</t>
  </si>
  <si>
    <t>0.13984834558823533</t>
  </si>
  <si>
    <t>5.086914175147683</t>
  </si>
  <si>
    <t>0.3752820297327592</t>
  </si>
  <si>
    <t>0.7116074080910072</t>
  </si>
  <si>
    <t>0.7466278294308315</t>
  </si>
  <si>
    <t>0.014999999999999986</t>
  </si>
  <si>
    <t>0.3210412507179981</t>
  </si>
  <si>
    <t>0.7575516880033729</t>
  </si>
  <si>
    <t>0.014087719298245616</t>
  </si>
  <si>
    <t>0.28102905767605757</t>
  </si>
  <si>
    <t>0.12646446906942452</t>
  </si>
  <si>
    <t>6.504404692901582e-06</t>
  </si>
  <si>
    <t>1.7874299146862194</t>
  </si>
  <si>
    <t>0.18349999999999994</t>
  </si>
  <si>
    <t>2.651262954858545</t>
  </si>
  <si>
    <t>0.015758114433903726</t>
  </si>
  <si>
    <t>15.648245991575209</t>
  </si>
  <si>
    <t>1.0529836550616469e-06</t>
  </si>
  <si>
    <t>0.5387362135417404</t>
  </si>
  <si>
    <t>0.4231950125653129</t>
  </si>
  <si>
    <t>0.19077941176470584</t>
  </si>
  <si>
    <t>2.722043601079823</t>
  </si>
  <si>
    <t>0.013529600734197574</t>
  </si>
  <si>
    <t>0.014248917748917778</t>
  </si>
  <si>
    <t>0.4545542184462659</t>
  </si>
  <si>
    <t>0.6601948473183168</t>
  </si>
  <si>
    <t>0.48748161764705883</t>
  </si>
  <si>
    <t>10.438783418616337</t>
  </si>
  <si>
    <t>1.6108347707456847e-05</t>
  </si>
  <si>
    <t>2.948481876791768</t>
  </si>
  <si>
    <t>0.022999999999999982</t>
  </si>
  <si>
    <t>1.5523317547380637</t>
  </si>
  <si>
    <t>0.13708113712102885</t>
  </si>
  <si>
    <t>0.12447145932773311</t>
  </si>
  <si>
    <t>0.9040127754094214</t>
  </si>
  <si>
    <t>1.3157459364539925</t>
  </si>
  <si>
    <t>0.22971113707695437</t>
  </si>
  <si>
    <t>0.9707037787107996</t>
  </si>
  <si>
    <t>0.43348881995364386</t>
  </si>
  <si>
    <t>0.6119347531304115</t>
  </si>
  <si>
    <t>0.5478345181437171</t>
  </si>
  <si>
    <t>0.16889244535709666</t>
  </si>
  <si>
    <t>1.5008585051604928</t>
  </si>
  <si>
    <t>0.012107522230408662</t>
  </si>
  <si>
    <t>1.3153999650719368</t>
  </si>
  <si>
    <t>0.1964689861088507</t>
  </si>
  <si>
    <t>1.6130445664629423</t>
  </si>
  <si>
    <t>0.12322101965002308</t>
  </si>
  <si>
    <t>1.4583333333333326</t>
  </si>
  <si>
    <t>0.015701162752971676</t>
  </si>
  <si>
    <t>1.7425856904322206</t>
  </si>
  <si>
    <t>0.3667076466620459</t>
  </si>
  <si>
    <t>0.9695697016164654</t>
  </si>
  <si>
    <t>0.3638303060341056</t>
  </si>
  <si>
    <t>0.2577093654747747</t>
  </si>
  <si>
    <t>4.350155390287797</t>
  </si>
  <si>
    <t>0.021083333333333308</t>
  </si>
  <si>
    <t>1.200623272670483</t>
  </si>
  <si>
    <t>0.26054298252901487</t>
  </si>
  <si>
    <t>0.26656250000000004</t>
  </si>
  <si>
    <t>6.850103616195867</t>
  </si>
  <si>
    <t>0.3191729159540745</t>
  </si>
  <si>
    <t>0.30423897058823524</t>
  </si>
  <si>
    <t>6.181704347119127</t>
  </si>
  <si>
    <t>6.118345035871454e-06</t>
  </si>
  <si>
    <t>0.5264643298114485</t>
  </si>
  <si>
    <t>4.252079731713098</t>
  </si>
  <si>
    <t>2.3099701015206175</t>
  </si>
  <si>
    <t>0.18241922885955272</t>
  </si>
  <si>
    <t>3.129842029504802</t>
  </si>
  <si>
    <t>0.036116631171251364</t>
  </si>
  <si>
    <t>0.15010687494452013</t>
  </si>
  <si>
    <t>7.154066644211915e-07</t>
  </si>
  <si>
    <t>0.9830873093361057</t>
  </si>
  <si>
    <t>0.35831484297877925</t>
  </si>
  <si>
    <t>4.7639467323546846e-05</t>
  </si>
  <si>
    <t>0.030416666666666675</t>
  </si>
  <si>
    <t>1.1292230810860904</t>
  </si>
  <si>
    <t>0.2880019458442444</t>
  </si>
  <si>
    <t>0.012353746746358965</t>
  </si>
  <si>
    <t>1.9802499632082643e-05</t>
  </si>
  <si>
    <t>0.18377376797688705</t>
  </si>
  <si>
    <t>0.7785929024404824</t>
  </si>
  <si>
    <t>0.4562012855485147</t>
  </si>
  <si>
    <t>0.48956977038393257</t>
  </si>
  <si>
    <t>7.409574275598475e-06</t>
  </si>
  <si>
    <t>3.527209844977088e-07</t>
  </si>
  <si>
    <t>0.14992946678091415</t>
  </si>
  <si>
    <t>0.9457221766249237</t>
  </si>
  <si>
    <t>1.6559206576783214</t>
  </si>
  <si>
    <t>0.14170907179259162</t>
  </si>
  <si>
    <t>3.8013641435825005e-06</t>
  </si>
  <si>
    <t>0.022286019764553574</t>
  </si>
  <si>
    <t>1.4936659519207394</t>
  </si>
  <si>
    <t>0.1789045845520166</t>
  </si>
  <si>
    <t>0.010022655249795849</t>
  </si>
  <si>
    <t>8.307048109438258e-05</t>
  </si>
  <si>
    <t>0.021295201785484424</t>
  </si>
  <si>
    <t>1.2064788814728098</t>
  </si>
  <si>
    <t>0.2730398186561198</t>
  </si>
  <si>
    <t>1.053713649033133</t>
  </si>
  <si>
    <t>0.30595386283208853</t>
  </si>
  <si>
    <t>3.656162858545773e-05</t>
  </si>
  <si>
    <t>0.9916619308826033</t>
  </si>
  <si>
    <t>9.376946016470112e-07</t>
  </si>
  <si>
    <t>Approach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</si>
</sst>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0" borderId="0" xfId="0" quotePrefix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rhansen\Documents\Python\SPMs\Inrix\inrix_key.csv" TargetMode="External"/><Relationship Id="rId1" Type="http://schemas.openxmlformats.org/officeDocument/2006/relationships/externalLinkPath" Target="/Users/rhansen/Documents/Python/SPMs/Inrix/inrix_key.csv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inrix_key"/>
    </sheetNames>
    <sheetDataSet>
      <sheetData sheetId="0">
        <row r="1">
          <cell r="A1" t="str">
            <v>Segment ID</v>
          </cell>
          <cell r="B1" t="str">
            <v>Direction</v>
          </cell>
          <cell r="C1" t="str">
            <v>Int_App</v>
          </cell>
        </row>
        <row r="2">
          <cell r="A2">
            <v>448695751</v>
          </cell>
          <cell r="B2" t="str">
            <v>S</v>
          </cell>
          <cell r="C2" t="str">
            <v>Riverside_N</v>
          </cell>
        </row>
        <row r="3">
          <cell r="A3">
            <v>448695752</v>
          </cell>
          <cell r="B3" t="str">
            <v>S</v>
          </cell>
          <cell r="C3" t="str">
            <v>IslandWood_N</v>
          </cell>
        </row>
        <row r="4">
          <cell r="A4">
            <v>448695754</v>
          </cell>
          <cell r="B4" t="str">
            <v>N</v>
          </cell>
          <cell r="C4" t="str">
            <v>State_S</v>
          </cell>
        </row>
        <row r="5">
          <cell r="A5">
            <v>1187333605</v>
          </cell>
          <cell r="B5" t="str">
            <v>S</v>
          </cell>
          <cell r="C5" t="str">
            <v>Colchester_N</v>
          </cell>
        </row>
        <row r="6">
          <cell r="A6">
            <v>448695753</v>
          </cell>
          <cell r="B6" t="str">
            <v>N</v>
          </cell>
          <cell r="C6" t="str">
            <v>Riverside_S</v>
          </cell>
        </row>
        <row r="7">
          <cell r="A7">
            <v>117772024</v>
          </cell>
          <cell r="B7" t="str">
            <v>E</v>
          </cell>
          <cell r="C7" t="str">
            <v>IslandWood_W</v>
          </cell>
        </row>
        <row r="8">
          <cell r="A8">
            <v>119241469</v>
          </cell>
          <cell r="B8" t="str">
            <v>E</v>
          </cell>
          <cell r="C8" t="str">
            <v>Colchester_W</v>
          </cell>
        </row>
        <row r="9">
          <cell r="A9">
            <v>1187466896</v>
          </cell>
          <cell r="B9" t="str">
            <v>N</v>
          </cell>
          <cell r="C9" t="str">
            <v>IslandWood_S</v>
          </cell>
        </row>
        <row r="10">
          <cell r="A10">
            <v>1187333665</v>
          </cell>
          <cell r="B10" t="str">
            <v>S</v>
          </cell>
          <cell r="C10" t="str">
            <v>Chinden_N</v>
          </cell>
        </row>
        <row r="11">
          <cell r="A11">
            <v>119269713</v>
          </cell>
          <cell r="B11" t="str">
            <v>W</v>
          </cell>
          <cell r="C11" t="str">
            <v>Colchester_E</v>
          </cell>
        </row>
        <row r="12">
          <cell r="A12">
            <v>1187466917</v>
          </cell>
          <cell r="B12" t="str">
            <v>N</v>
          </cell>
          <cell r="C12" t="str">
            <v>Colchester_S</v>
          </cell>
        </row>
        <row r="13">
          <cell r="A13">
            <v>1187532837</v>
          </cell>
          <cell r="B13" t="str">
            <v>S</v>
          </cell>
          <cell r="C13" t="str">
            <v>HobbleCreek_N</v>
          </cell>
        </row>
        <row r="14">
          <cell r="A14">
            <v>1187577122</v>
          </cell>
          <cell r="B14" t="str">
            <v>W</v>
          </cell>
          <cell r="C14" t="str">
            <v>Chinden_E</v>
          </cell>
        </row>
        <row r="15">
          <cell r="A15">
            <v>1187612015</v>
          </cell>
          <cell r="B15" t="str">
            <v>E</v>
          </cell>
          <cell r="C15" t="str">
            <v>Chinden_W</v>
          </cell>
        </row>
        <row r="16">
          <cell r="A16">
            <v>119501618</v>
          </cell>
          <cell r="B16" t="str">
            <v>S</v>
          </cell>
          <cell r="C16" t="str">
            <v>McMillan_N</v>
          </cell>
        </row>
        <row r="17">
          <cell r="A17">
            <v>448725599</v>
          </cell>
          <cell r="B17" t="str">
            <v>N</v>
          </cell>
          <cell r="C17" t="str">
            <v>Chinden_S</v>
          </cell>
        </row>
        <row r="18">
          <cell r="A18">
            <v>1187549053</v>
          </cell>
          <cell r="B18" t="str">
            <v>N</v>
          </cell>
          <cell r="C18" t="str">
            <v>HobbleCreek_S</v>
          </cell>
        </row>
        <row r="19">
          <cell r="A19">
            <v>1187334983</v>
          </cell>
          <cell r="B19" t="str">
            <v>S</v>
          </cell>
          <cell r="C19" t="str">
            <v>Wainwright_N</v>
          </cell>
        </row>
        <row r="20">
          <cell r="A20">
            <v>474871675</v>
          </cell>
          <cell r="B20" t="str">
            <v>W</v>
          </cell>
          <cell r="C20" t="str">
            <v>McMillan_E</v>
          </cell>
        </row>
        <row r="21">
          <cell r="A21">
            <v>384121516</v>
          </cell>
          <cell r="B21" t="str">
            <v>E</v>
          </cell>
          <cell r="C21" t="str">
            <v>McMillan_W</v>
          </cell>
        </row>
        <row r="22">
          <cell r="A22">
            <v>1187335042</v>
          </cell>
          <cell r="B22" t="str">
            <v>S</v>
          </cell>
          <cell r="C22" t="str">
            <v>Ustick_N</v>
          </cell>
        </row>
        <row r="23">
          <cell r="A23">
            <v>1187548987</v>
          </cell>
          <cell r="B23" t="str">
            <v>N</v>
          </cell>
          <cell r="C23" t="str">
            <v>McMillan_S</v>
          </cell>
        </row>
        <row r="24">
          <cell r="A24">
            <v>448725597</v>
          </cell>
          <cell r="B24" t="str">
            <v>W</v>
          </cell>
          <cell r="C24" t="str">
            <v>Ustick_E</v>
          </cell>
        </row>
        <row r="25">
          <cell r="A25">
            <v>1187517040</v>
          </cell>
          <cell r="B25" t="str">
            <v>N</v>
          </cell>
          <cell r="C25" t="str">
            <v>Wainwright_S</v>
          </cell>
        </row>
        <row r="26">
          <cell r="A26">
            <v>448697010</v>
          </cell>
          <cell r="B26" t="str">
            <v>S</v>
          </cell>
          <cell r="C26" t="str">
            <v>RiverValley_N</v>
          </cell>
        </row>
        <row r="27">
          <cell r="A27">
            <v>448694757</v>
          </cell>
          <cell r="B27" t="str">
            <v>E</v>
          </cell>
          <cell r="C27" t="str">
            <v>Ustick_W</v>
          </cell>
        </row>
        <row r="28">
          <cell r="A28">
            <v>448697009</v>
          </cell>
          <cell r="B28" t="str">
            <v>N</v>
          </cell>
          <cell r="C28" t="str">
            <v>Ustick_S</v>
          </cell>
        </row>
        <row r="29">
          <cell r="A29">
            <v>448697011</v>
          </cell>
          <cell r="B29" t="str">
            <v>S</v>
          </cell>
          <cell r="C29" t="str">
            <v>Fairview_N</v>
          </cell>
        </row>
        <row r="30">
          <cell r="A30">
            <v>1187654609</v>
          </cell>
          <cell r="B30" t="str">
            <v>S</v>
          </cell>
          <cell r="C30" t="str">
            <v>Pine_N</v>
          </cell>
        </row>
        <row r="31">
          <cell r="A31">
            <v>448697008</v>
          </cell>
          <cell r="B31" t="str">
            <v>N</v>
          </cell>
          <cell r="C31" t="str">
            <v>RiverValley_S</v>
          </cell>
        </row>
        <row r="32">
          <cell r="A32">
            <v>1187579027</v>
          </cell>
          <cell r="B32" t="str">
            <v>W</v>
          </cell>
          <cell r="C32" t="str">
            <v>Fairview_E</v>
          </cell>
        </row>
        <row r="33">
          <cell r="A33">
            <v>448694747</v>
          </cell>
          <cell r="B33" t="str">
            <v>E</v>
          </cell>
          <cell r="C33" t="str">
            <v>Fairview_W</v>
          </cell>
        </row>
        <row r="34">
          <cell r="A34">
            <v>1187548947</v>
          </cell>
          <cell r="B34" t="str">
            <v>N</v>
          </cell>
          <cell r="C34" t="str">
            <v>Fairview_S</v>
          </cell>
        </row>
        <row r="35">
          <cell r="A35">
            <v>1187654588</v>
          </cell>
          <cell r="B35" t="str">
            <v>S</v>
          </cell>
          <cell r="C35" t="str">
            <v>Franklin_N</v>
          </cell>
        </row>
        <row r="36">
          <cell r="A36">
            <v>484366819</v>
          </cell>
          <cell r="B36" t="str">
            <v>W</v>
          </cell>
          <cell r="C36" t="str">
            <v>Pine_E</v>
          </cell>
        </row>
        <row r="37">
          <cell r="A37">
            <v>484371307</v>
          </cell>
          <cell r="B37" t="str">
            <v>W</v>
          </cell>
          <cell r="C37" t="str">
            <v>Pine_E</v>
          </cell>
        </row>
        <row r="38">
          <cell r="A38">
            <v>384139881</v>
          </cell>
          <cell r="B38" t="str">
            <v>E</v>
          </cell>
          <cell r="C38" t="str">
            <v>Pine_W</v>
          </cell>
        </row>
        <row r="39">
          <cell r="A39">
            <v>484347992</v>
          </cell>
          <cell r="B39" t="str">
            <v>N</v>
          </cell>
        </row>
        <row r="40">
          <cell r="A40">
            <v>1187548975</v>
          </cell>
          <cell r="B40" t="str">
            <v>N</v>
          </cell>
          <cell r="C40" t="str">
            <v>Pine_S</v>
          </cell>
        </row>
        <row r="41">
          <cell r="A41">
            <v>448697006</v>
          </cell>
          <cell r="B41" t="str">
            <v>S</v>
          </cell>
          <cell r="C41" t="str">
            <v>StLukes_N</v>
          </cell>
        </row>
        <row r="42">
          <cell r="A42">
            <v>117503882</v>
          </cell>
          <cell r="B42" t="str">
            <v>W</v>
          </cell>
          <cell r="C42" t="str">
            <v>Franklin_E</v>
          </cell>
        </row>
        <row r="43">
          <cell r="A43">
            <v>1187327938</v>
          </cell>
          <cell r="B43" t="str">
            <v>E</v>
          </cell>
          <cell r="C43" t="str">
            <v>Franklin_W</v>
          </cell>
        </row>
        <row r="44">
          <cell r="A44">
            <v>448725596</v>
          </cell>
          <cell r="B44" t="str">
            <v>N</v>
          </cell>
          <cell r="C44" t="str">
            <v>Franklin_S</v>
          </cell>
        </row>
        <row r="45">
          <cell r="A45">
            <v>448697007</v>
          </cell>
          <cell r="B45" t="str">
            <v>S</v>
          </cell>
          <cell r="C45" t="str">
            <v>WB_N</v>
          </cell>
        </row>
        <row r="46">
          <cell r="A46">
            <v>448725595</v>
          </cell>
          <cell r="B46" t="str">
            <v>N</v>
          </cell>
          <cell r="C46" t="str">
            <v>StLukes_S</v>
          </cell>
        </row>
        <row r="47">
          <cell r="A47">
            <v>1187636735</v>
          </cell>
          <cell r="B47" t="str">
            <v>W</v>
          </cell>
          <cell r="C47" t="str">
            <v>WB_E</v>
          </cell>
        </row>
        <row r="48">
          <cell r="A48">
            <v>1187635580</v>
          </cell>
          <cell r="B48" t="str">
            <v>N</v>
          </cell>
          <cell r="C48" t="str">
            <v>WB_S</v>
          </cell>
        </row>
        <row r="49">
          <cell r="A49">
            <v>428958434</v>
          </cell>
          <cell r="B49" t="str">
            <v>S</v>
          </cell>
        </row>
        <row r="50">
          <cell r="A50">
            <v>1187586311</v>
          </cell>
          <cell r="B50" t="str">
            <v>E</v>
          </cell>
          <cell r="C50" t="str">
            <v>EB_W</v>
          </cell>
        </row>
        <row r="51">
          <cell r="A51">
            <v>428958435</v>
          </cell>
          <cell r="B51" t="str">
            <v>N</v>
          </cell>
        </row>
        <row r="52">
          <cell r="A52">
            <v>428958433</v>
          </cell>
          <cell r="B52" t="str">
            <v>N</v>
          </cell>
          <cell r="C52" t="str">
            <v>EB_S</v>
          </cell>
        </row>
        <row r="53">
          <cell r="A53">
            <v>1187377510</v>
          </cell>
          <cell r="B53" t="str">
            <v>N</v>
          </cell>
          <cell r="C53" t="str">
            <v>EB_S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6E137E-F06E-42B2-93C0-FF769F86DEA7}">
  <sheetPr filterMode="1"/>
  <dimension ref="A1:G517"/>
  <sheetViews>
    <sheetView tabSelected="1" workbookViewId="0">
      <selection activeCell="G250" sqref="G250"/>
    </sheetView>
  </sheetViews>
  <sheetFormatPr defaultRowHeight="15" x14ac:dyDescent="0.25"/>
  <cols>
    <col min="1" max="1" width="11" bestFit="1" customWidth="1"/>
    <col min="2" max="2" width="26" bestFit="1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538</v>
      </c>
    </row>
    <row r="2" spans="1:7" hidden="1" x14ac:dyDescent="0.25">
      <c r="A2">
        <v>117503882</v>
      </c>
      <c r="B2" t="s">
        <v>6</v>
      </c>
      <c r="C2">
        <v>-5.6499999999999898E-2</v>
      </c>
      <c r="D2">
        <v>-4.0045830901127699</v>
      </c>
      <c r="E2">
        <v>7.5821295242995302E-4</v>
      </c>
      <c r="F2">
        <v>20</v>
      </c>
      <c r="G2" t="str">
        <f>VLOOKUP(A2,[1]inrix_key!$A:$C,3,FALSE)</f>
        <v>Franklin_E</v>
      </c>
    </row>
    <row r="3" spans="1:7" hidden="1" x14ac:dyDescent="0.25">
      <c r="A3">
        <v>117503882</v>
      </c>
      <c r="B3" t="s">
        <v>7</v>
      </c>
      <c r="C3">
        <v>-0.13700000000000001</v>
      </c>
      <c r="D3">
        <v>-3.3788558221188798</v>
      </c>
      <c r="E3">
        <v>2.7814863237588399E-2</v>
      </c>
      <c r="F3">
        <v>5</v>
      </c>
      <c r="G3" t="str">
        <f>VLOOKUP(A3,[1]inrix_key!$A:$C,3,FALSE)</f>
        <v>Franklin_E</v>
      </c>
    </row>
    <row r="4" spans="1:7" hidden="1" x14ac:dyDescent="0.25">
      <c r="A4">
        <v>117503882</v>
      </c>
      <c r="B4" t="s">
        <v>8</v>
      </c>
      <c r="C4">
        <v>-0.11687500000000001</v>
      </c>
      <c r="D4">
        <v>-3.0110418178137701</v>
      </c>
      <c r="E4" s="1" t="s">
        <v>9</v>
      </c>
      <c r="F4">
        <v>8</v>
      </c>
      <c r="G4" t="str">
        <f>VLOOKUP(A4,[1]inrix_key!$A:$C,3,FALSE)</f>
        <v>Franklin_E</v>
      </c>
    </row>
    <row r="5" spans="1:7" hidden="1" x14ac:dyDescent="0.25">
      <c r="A5">
        <v>117503882</v>
      </c>
      <c r="B5" t="s">
        <v>10</v>
      </c>
      <c r="C5">
        <v>-4.0343137254901899E-2</v>
      </c>
      <c r="D5">
        <v>-2.9181668068659601</v>
      </c>
      <c r="E5" s="1" t="s">
        <v>11</v>
      </c>
      <c r="F5">
        <v>17</v>
      </c>
      <c r="G5" t="str">
        <f>VLOOKUP(A5,[1]inrix_key!$A:$C,3,FALSE)</f>
        <v>Franklin_E</v>
      </c>
    </row>
    <row r="6" spans="1:7" hidden="1" x14ac:dyDescent="0.25">
      <c r="A6">
        <v>117503882</v>
      </c>
      <c r="B6" t="s">
        <v>12</v>
      </c>
      <c r="C6">
        <v>-3.2765765765765703E-2</v>
      </c>
      <c r="D6">
        <v>-1.4302545455158</v>
      </c>
      <c r="E6" s="1" t="s">
        <v>13</v>
      </c>
      <c r="F6">
        <v>37</v>
      </c>
      <c r="G6" t="str">
        <f>VLOOKUP(A6,[1]inrix_key!$A:$C,3,FALSE)</f>
        <v>Franklin_E</v>
      </c>
    </row>
    <row r="7" spans="1:7" hidden="1" x14ac:dyDescent="0.25">
      <c r="A7">
        <v>117503882</v>
      </c>
      <c r="B7" t="s">
        <v>14</v>
      </c>
      <c r="C7">
        <v>-6.3483455882352893E-2</v>
      </c>
      <c r="D7">
        <v>-10.1994965626153</v>
      </c>
      <c r="E7" s="1" t="s">
        <v>15</v>
      </c>
      <c r="F7">
        <v>20</v>
      </c>
      <c r="G7" t="str">
        <f>VLOOKUP(A7,[1]inrix_key!$A:$C,3,FALSE)</f>
        <v>Franklin_E</v>
      </c>
    </row>
    <row r="8" spans="1:7" hidden="1" x14ac:dyDescent="0.25">
      <c r="A8">
        <v>117503882</v>
      </c>
      <c r="B8" t="s">
        <v>16</v>
      </c>
      <c r="C8">
        <v>3.7735449735449698E-2</v>
      </c>
      <c r="D8" s="1" t="s">
        <v>17</v>
      </c>
      <c r="E8" s="1" t="s">
        <v>18</v>
      </c>
      <c r="F8">
        <v>9</v>
      </c>
      <c r="G8" t="str">
        <f>VLOOKUP(A8,[1]inrix_key!$A:$C,3,FALSE)</f>
        <v>Franklin_E</v>
      </c>
    </row>
    <row r="9" spans="1:7" hidden="1" x14ac:dyDescent="0.25">
      <c r="A9">
        <v>117503882</v>
      </c>
      <c r="B9" t="s">
        <v>19</v>
      </c>
      <c r="C9">
        <v>-3.9296875000000002E-2</v>
      </c>
      <c r="D9">
        <v>-2.4471228037024302</v>
      </c>
      <c r="E9" s="1" t="s">
        <v>20</v>
      </c>
      <c r="F9">
        <v>8</v>
      </c>
      <c r="G9" t="str">
        <f>VLOOKUP(A9,[1]inrix_key!$A:$C,3,FALSE)</f>
        <v>Franklin_E</v>
      </c>
    </row>
    <row r="10" spans="1:7" hidden="1" x14ac:dyDescent="0.25">
      <c r="A10">
        <v>117503882</v>
      </c>
      <c r="B10" t="s">
        <v>21</v>
      </c>
      <c r="C10" s="1" t="s">
        <v>22</v>
      </c>
      <c r="D10" s="1" t="s">
        <v>23</v>
      </c>
      <c r="E10" s="1" t="s">
        <v>24</v>
      </c>
      <c r="F10">
        <v>20</v>
      </c>
      <c r="G10" t="str">
        <f>VLOOKUP(A10,[1]inrix_key!$A:$C,3,FALSE)</f>
        <v>Franklin_E</v>
      </c>
    </row>
    <row r="11" spans="1:7" hidden="1" x14ac:dyDescent="0.25">
      <c r="A11">
        <v>117503882</v>
      </c>
      <c r="B11" t="s">
        <v>25</v>
      </c>
      <c r="C11">
        <v>-5.09521047622827E-2</v>
      </c>
      <c r="D11">
        <v>-3.0423119971724102</v>
      </c>
      <c r="E11">
        <v>4.3012582888979304E-3</v>
      </c>
      <c r="F11">
        <v>38</v>
      </c>
      <c r="G11" t="str">
        <f>VLOOKUP(A11,[1]inrix_key!$A:$C,3,FALSE)</f>
        <v>Franklin_E</v>
      </c>
    </row>
    <row r="12" spans="1:7" hidden="1" x14ac:dyDescent="0.25">
      <c r="A12">
        <v>117772024</v>
      </c>
      <c r="B12" t="s">
        <v>6</v>
      </c>
      <c r="C12">
        <v>-6.1708333333333303E-2</v>
      </c>
      <c r="D12">
        <v>-6.5322136489512896</v>
      </c>
      <c r="E12" s="1" t="s">
        <v>26</v>
      </c>
      <c r="F12">
        <v>20</v>
      </c>
      <c r="G12" t="str">
        <f>VLOOKUP(A12,[1]inrix_key!$A:$C,3,FALSE)</f>
        <v>IslandWood_W</v>
      </c>
    </row>
    <row r="13" spans="1:7" hidden="1" x14ac:dyDescent="0.25">
      <c r="A13">
        <v>117772024</v>
      </c>
      <c r="B13" t="s">
        <v>7</v>
      </c>
      <c r="C13">
        <v>-1.6666666666666701E-2</v>
      </c>
      <c r="D13">
        <v>-0.82199493652678901</v>
      </c>
      <c r="E13" s="1" t="s">
        <v>27</v>
      </c>
      <c r="F13">
        <v>3</v>
      </c>
      <c r="G13" t="str">
        <f>VLOOKUP(A13,[1]inrix_key!$A:$C,3,FALSE)</f>
        <v>IslandWood_W</v>
      </c>
    </row>
    <row r="14" spans="1:7" hidden="1" x14ac:dyDescent="0.25">
      <c r="A14">
        <v>117772024</v>
      </c>
      <c r="B14" t="s">
        <v>8</v>
      </c>
      <c r="C14">
        <v>-5.9687499999999998E-2</v>
      </c>
      <c r="D14">
        <v>-2.5620691118351999</v>
      </c>
      <c r="E14" s="1" t="s">
        <v>28</v>
      </c>
      <c r="F14">
        <v>8</v>
      </c>
      <c r="G14" t="str">
        <f>VLOOKUP(A14,[1]inrix_key!$A:$C,3,FALSE)</f>
        <v>IslandWood_W</v>
      </c>
    </row>
    <row r="15" spans="1:7" hidden="1" x14ac:dyDescent="0.25">
      <c r="A15">
        <v>117772024</v>
      </c>
      <c r="B15" t="s">
        <v>10</v>
      </c>
      <c r="C15">
        <v>-0.13291666666666599</v>
      </c>
      <c r="D15">
        <v>-2.74890581518402</v>
      </c>
      <c r="E15">
        <v>2.85489910481415E-2</v>
      </c>
      <c r="F15">
        <v>8</v>
      </c>
      <c r="G15" t="str">
        <f>VLOOKUP(A15,[1]inrix_key!$A:$C,3,FALSE)</f>
        <v>IslandWood_W</v>
      </c>
    </row>
    <row r="16" spans="1:7" hidden="1" x14ac:dyDescent="0.25">
      <c r="A16">
        <v>117772024</v>
      </c>
      <c r="B16" t="s">
        <v>12</v>
      </c>
      <c r="C16">
        <v>-6.8707207207207202E-2</v>
      </c>
      <c r="D16">
        <v>-4.4110351290469296</v>
      </c>
      <c r="E16" s="1" t="s">
        <v>29</v>
      </c>
      <c r="F16">
        <v>37</v>
      </c>
      <c r="G16" t="str">
        <f>VLOOKUP(A16,[1]inrix_key!$A:$C,3,FALSE)</f>
        <v>IslandWood_W</v>
      </c>
    </row>
    <row r="17" spans="1:7" hidden="1" x14ac:dyDescent="0.25">
      <c r="A17">
        <v>117772024</v>
      </c>
      <c r="B17" t="s">
        <v>14</v>
      </c>
      <c r="C17">
        <v>-3.4132739441930599E-2</v>
      </c>
      <c r="D17">
        <v>-5.4422315097917497</v>
      </c>
      <c r="E17" s="1" t="s">
        <v>30</v>
      </c>
      <c r="F17">
        <v>20</v>
      </c>
      <c r="G17" t="str">
        <f>VLOOKUP(A17,[1]inrix_key!$A:$C,3,FALSE)</f>
        <v>IslandWood_W</v>
      </c>
    </row>
    <row r="18" spans="1:7" hidden="1" x14ac:dyDescent="0.25">
      <c r="A18">
        <v>117772024</v>
      </c>
      <c r="B18" t="s">
        <v>16</v>
      </c>
      <c r="C18">
        <v>-7.1249999999999897E-2</v>
      </c>
      <c r="D18">
        <v>-0.86659238175379805</v>
      </c>
      <c r="E18" s="1" t="s">
        <v>31</v>
      </c>
      <c r="F18">
        <v>4</v>
      </c>
      <c r="G18" t="str">
        <f>VLOOKUP(A18,[1]inrix_key!$A:$C,3,FALSE)</f>
        <v>IslandWood_W</v>
      </c>
    </row>
    <row r="19" spans="1:7" hidden="1" x14ac:dyDescent="0.25">
      <c r="A19">
        <v>117772024</v>
      </c>
      <c r="B19" t="s">
        <v>19</v>
      </c>
      <c r="C19">
        <v>-4.3661638300425E-2</v>
      </c>
      <c r="D19">
        <v>-3.5861074245557898</v>
      </c>
      <c r="E19">
        <v>8.9032646436354602E-3</v>
      </c>
      <c r="F19">
        <v>8</v>
      </c>
      <c r="G19" t="str">
        <f>VLOOKUP(A19,[1]inrix_key!$A:$C,3,FALSE)</f>
        <v>IslandWood_W</v>
      </c>
    </row>
    <row r="20" spans="1:7" hidden="1" x14ac:dyDescent="0.25">
      <c r="A20">
        <v>117772024</v>
      </c>
      <c r="B20" t="s">
        <v>21</v>
      </c>
      <c r="C20">
        <v>-3.2912823287823197E-2</v>
      </c>
      <c r="D20">
        <v>-3.0080009403572299</v>
      </c>
      <c r="E20" s="1" t="s">
        <v>32</v>
      </c>
      <c r="F20">
        <v>13</v>
      </c>
      <c r="G20" t="str">
        <f>VLOOKUP(A20,[1]inrix_key!$A:$C,3,FALSE)</f>
        <v>IslandWood_W</v>
      </c>
    </row>
    <row r="21" spans="1:7" hidden="1" x14ac:dyDescent="0.25">
      <c r="A21">
        <v>117772024</v>
      </c>
      <c r="B21" t="s">
        <v>25</v>
      </c>
      <c r="C21">
        <v>-6.1055211990261003E-2</v>
      </c>
      <c r="D21">
        <v>-5.59609146299477</v>
      </c>
      <c r="E21" s="1" t="s">
        <v>33</v>
      </c>
      <c r="F21">
        <v>36</v>
      </c>
      <c r="G21" t="str">
        <f>VLOOKUP(A21,[1]inrix_key!$A:$C,3,FALSE)</f>
        <v>IslandWood_W</v>
      </c>
    </row>
    <row r="22" spans="1:7" hidden="1" x14ac:dyDescent="0.25">
      <c r="A22">
        <v>119241469</v>
      </c>
      <c r="B22" t="s">
        <v>6</v>
      </c>
      <c r="C22">
        <v>-2.60526315789473E-2</v>
      </c>
      <c r="D22">
        <v>-1.1696549960939699</v>
      </c>
      <c r="E22" s="1" t="s">
        <v>34</v>
      </c>
      <c r="F22">
        <v>19</v>
      </c>
      <c r="G22" t="str">
        <f>VLOOKUP(A22,[1]inrix_key!$A:$C,3,FALSE)</f>
        <v>Colchester_W</v>
      </c>
    </row>
    <row r="23" spans="1:7" hidden="1" x14ac:dyDescent="0.25">
      <c r="A23">
        <v>119241469</v>
      </c>
      <c r="B23" t="s">
        <v>8</v>
      </c>
      <c r="C23">
        <v>-1.94791666666666E-2</v>
      </c>
      <c r="D23">
        <v>-0.57487479193165503</v>
      </c>
      <c r="E23" s="1" t="s">
        <v>35</v>
      </c>
      <c r="F23">
        <v>8</v>
      </c>
      <c r="G23" t="str">
        <f>VLOOKUP(A23,[1]inrix_key!$A:$C,3,FALSE)</f>
        <v>Colchester_W</v>
      </c>
    </row>
    <row r="24" spans="1:7" hidden="1" x14ac:dyDescent="0.25">
      <c r="A24">
        <v>119241469</v>
      </c>
      <c r="B24" t="s">
        <v>10</v>
      </c>
      <c r="C24">
        <v>-6.22222222222222E-2</v>
      </c>
      <c r="D24">
        <v>-1.78583876948496</v>
      </c>
      <c r="E24" s="1" t="s">
        <v>36</v>
      </c>
      <c r="F24">
        <v>9</v>
      </c>
      <c r="G24" t="str">
        <f>VLOOKUP(A24,[1]inrix_key!$A:$C,3,FALSE)</f>
        <v>Colchester_W</v>
      </c>
    </row>
    <row r="25" spans="1:7" hidden="1" x14ac:dyDescent="0.25">
      <c r="A25">
        <v>119241469</v>
      </c>
      <c r="B25" t="s">
        <v>12</v>
      </c>
      <c r="C25">
        <v>-2.6583333333333299E-2</v>
      </c>
      <c r="D25">
        <v>-1.5741082363952501</v>
      </c>
      <c r="E25" s="1" t="s">
        <v>37</v>
      </c>
      <c r="F25">
        <v>30</v>
      </c>
      <c r="G25" t="str">
        <f>VLOOKUP(A25,[1]inrix_key!$A:$C,3,FALSE)</f>
        <v>Colchester_W</v>
      </c>
    </row>
    <row r="26" spans="1:7" hidden="1" x14ac:dyDescent="0.25">
      <c r="A26">
        <v>119241469</v>
      </c>
      <c r="B26" t="s">
        <v>14</v>
      </c>
      <c r="C26">
        <v>-3.3091720779221102E-3</v>
      </c>
      <c r="D26">
        <v>-0.47167126661347503</v>
      </c>
      <c r="E26" s="1" t="s">
        <v>38</v>
      </c>
      <c r="F26">
        <v>20</v>
      </c>
      <c r="G26" t="str">
        <f>VLOOKUP(A26,[1]inrix_key!$A:$C,3,FALSE)</f>
        <v>Colchester_W</v>
      </c>
    </row>
    <row r="27" spans="1:7" hidden="1" x14ac:dyDescent="0.25">
      <c r="A27">
        <v>119241469</v>
      </c>
      <c r="B27" t="s">
        <v>19</v>
      </c>
      <c r="C27">
        <v>-3.8839665542790502E-2</v>
      </c>
      <c r="D27">
        <v>-2.18167105830784</v>
      </c>
      <c r="E27">
        <v>6.5478971444854803E-2</v>
      </c>
      <c r="F27">
        <v>8</v>
      </c>
      <c r="G27" t="str">
        <f>VLOOKUP(A27,[1]inrix_key!$A:$C,3,FALSE)</f>
        <v>Colchester_W</v>
      </c>
    </row>
    <row r="28" spans="1:7" hidden="1" x14ac:dyDescent="0.25">
      <c r="A28">
        <v>119241469</v>
      </c>
      <c r="B28" t="s">
        <v>21</v>
      </c>
      <c r="C28">
        <v>-5.7387889887889898E-3</v>
      </c>
      <c r="D28">
        <v>-0.35644792625831201</v>
      </c>
      <c r="E28" s="1" t="s">
        <v>39</v>
      </c>
      <c r="F28">
        <v>12</v>
      </c>
      <c r="G28" t="str">
        <f>VLOOKUP(A28,[1]inrix_key!$A:$C,3,FALSE)</f>
        <v>Colchester_W</v>
      </c>
    </row>
    <row r="29" spans="1:7" hidden="1" x14ac:dyDescent="0.25">
      <c r="A29">
        <v>119241469</v>
      </c>
      <c r="B29" t="s">
        <v>25</v>
      </c>
      <c r="C29">
        <v>-2.43869418979713E-2</v>
      </c>
      <c r="D29">
        <v>-2.4679538419639</v>
      </c>
      <c r="E29" s="1" t="s">
        <v>40</v>
      </c>
      <c r="F29">
        <v>34</v>
      </c>
      <c r="G29" t="str">
        <f>VLOOKUP(A29,[1]inrix_key!$A:$C,3,FALSE)</f>
        <v>Colchester_W</v>
      </c>
    </row>
    <row r="30" spans="1:7" hidden="1" x14ac:dyDescent="0.25">
      <c r="A30">
        <v>119269713</v>
      </c>
      <c r="B30" t="s">
        <v>6</v>
      </c>
      <c r="C30">
        <v>-4.69166666666666E-2</v>
      </c>
      <c r="D30">
        <v>-2.0720319598388102</v>
      </c>
      <c r="E30">
        <v>5.2115462179729899E-2</v>
      </c>
      <c r="F30">
        <v>20</v>
      </c>
      <c r="G30" t="str">
        <f>VLOOKUP(A30,[1]inrix_key!$A:$C,3,FALSE)</f>
        <v>Colchester_E</v>
      </c>
    </row>
    <row r="31" spans="1:7" hidden="1" x14ac:dyDescent="0.25">
      <c r="A31">
        <v>119269713</v>
      </c>
      <c r="B31" t="s">
        <v>8</v>
      </c>
      <c r="C31">
        <v>-0.16968749999999999</v>
      </c>
      <c r="D31">
        <v>-3.0639119923027001</v>
      </c>
      <c r="E31" s="1" t="s">
        <v>41</v>
      </c>
      <c r="F31">
        <v>8</v>
      </c>
      <c r="G31" t="str">
        <f>VLOOKUP(A31,[1]inrix_key!$A:$C,3,FALSE)</f>
        <v>Colchester_E</v>
      </c>
    </row>
    <row r="32" spans="1:7" hidden="1" x14ac:dyDescent="0.25">
      <c r="A32">
        <v>119269713</v>
      </c>
      <c r="B32" t="s">
        <v>10</v>
      </c>
      <c r="C32">
        <v>-2.5833333333333298E-2</v>
      </c>
      <c r="D32">
        <v>-0.36839556790213401</v>
      </c>
      <c r="E32">
        <v>0.73703902974926805</v>
      </c>
      <c r="F32">
        <v>4</v>
      </c>
      <c r="G32" t="str">
        <f>VLOOKUP(A32,[1]inrix_key!$A:$C,3,FALSE)</f>
        <v>Colchester_E</v>
      </c>
    </row>
    <row r="33" spans="1:7" hidden="1" x14ac:dyDescent="0.25">
      <c r="A33">
        <v>119269713</v>
      </c>
      <c r="B33" t="s">
        <v>12</v>
      </c>
      <c r="C33">
        <v>-4.48774509803921E-2</v>
      </c>
      <c r="D33">
        <v>-3.6833040060465199</v>
      </c>
      <c r="E33">
        <v>8.1860633952617599E-4</v>
      </c>
      <c r="F33">
        <v>34</v>
      </c>
      <c r="G33" t="str">
        <f>VLOOKUP(A33,[1]inrix_key!$A:$C,3,FALSE)</f>
        <v>Colchester_E</v>
      </c>
    </row>
    <row r="34" spans="1:7" hidden="1" x14ac:dyDescent="0.25">
      <c r="A34">
        <v>119269713</v>
      </c>
      <c r="B34" t="s">
        <v>14</v>
      </c>
      <c r="C34">
        <v>-3.1449490093240003E-2</v>
      </c>
      <c r="D34">
        <v>-2.8508773426604899</v>
      </c>
      <c r="E34" s="1" t="s">
        <v>42</v>
      </c>
      <c r="F34">
        <v>20</v>
      </c>
      <c r="G34" t="str">
        <f>VLOOKUP(A34,[1]inrix_key!$A:$C,3,FALSE)</f>
        <v>Colchester_E</v>
      </c>
    </row>
    <row r="35" spans="1:7" hidden="1" x14ac:dyDescent="0.25">
      <c r="A35">
        <v>119269713</v>
      </c>
      <c r="B35" t="s">
        <v>16</v>
      </c>
      <c r="C35" s="1" t="s">
        <v>43</v>
      </c>
      <c r="D35" s="1" t="s">
        <v>44</v>
      </c>
      <c r="E35">
        <v>8.1650989668713203E-2</v>
      </c>
      <c r="F35">
        <v>3</v>
      </c>
      <c r="G35" t="str">
        <f>VLOOKUP(A35,[1]inrix_key!$A:$C,3,FALSE)</f>
        <v>Colchester_E</v>
      </c>
    </row>
    <row r="36" spans="1:7" hidden="1" x14ac:dyDescent="0.25">
      <c r="A36">
        <v>119269713</v>
      </c>
      <c r="B36" t="s">
        <v>19</v>
      </c>
      <c r="C36">
        <v>-4.2301776348651302E-2</v>
      </c>
      <c r="D36">
        <v>-4.4529713610219002</v>
      </c>
      <c r="E36">
        <v>2.9610174869228599E-3</v>
      </c>
      <c r="F36">
        <v>8</v>
      </c>
      <c r="G36" t="str">
        <f>VLOOKUP(A36,[1]inrix_key!$A:$C,3,FALSE)</f>
        <v>Colchester_E</v>
      </c>
    </row>
    <row r="37" spans="1:7" hidden="1" x14ac:dyDescent="0.25">
      <c r="A37">
        <v>119269713</v>
      </c>
      <c r="B37" t="s">
        <v>21</v>
      </c>
      <c r="C37">
        <v>1.9656484388627202E-2</v>
      </c>
      <c r="D37" s="1" t="s">
        <v>45</v>
      </c>
      <c r="E37" s="1" t="s">
        <v>46</v>
      </c>
      <c r="F37">
        <v>14</v>
      </c>
      <c r="G37" t="str">
        <f>VLOOKUP(A37,[1]inrix_key!$A:$C,3,FALSE)</f>
        <v>Colchester_E</v>
      </c>
    </row>
    <row r="38" spans="1:7" hidden="1" x14ac:dyDescent="0.25">
      <c r="A38">
        <v>119269713</v>
      </c>
      <c r="B38" t="s">
        <v>25</v>
      </c>
      <c r="C38">
        <v>-3.6706767021105202E-2</v>
      </c>
      <c r="D38">
        <v>-4.6138751439487997</v>
      </c>
      <c r="E38" s="1" t="s">
        <v>47</v>
      </c>
      <c r="F38">
        <v>36</v>
      </c>
      <c r="G38" t="str">
        <f>VLOOKUP(A38,[1]inrix_key!$A:$C,3,FALSE)</f>
        <v>Colchester_E</v>
      </c>
    </row>
    <row r="39" spans="1:7" hidden="1" x14ac:dyDescent="0.25">
      <c r="A39">
        <v>119501618</v>
      </c>
      <c r="B39" t="s">
        <v>6</v>
      </c>
      <c r="C39" s="1" t="s">
        <v>48</v>
      </c>
      <c r="D39" s="1" t="s">
        <v>49</v>
      </c>
      <c r="E39" s="1" t="s">
        <v>50</v>
      </c>
      <c r="F39">
        <v>20</v>
      </c>
      <c r="G39" t="str">
        <f>VLOOKUP(A39,[1]inrix_key!$A:$C,3,FALSE)</f>
        <v>McMillan_N</v>
      </c>
    </row>
    <row r="40" spans="1:7" hidden="1" x14ac:dyDescent="0.25">
      <c r="A40">
        <v>119501618</v>
      </c>
      <c r="B40" t="s">
        <v>7</v>
      </c>
      <c r="C40" s="1" t="s">
        <v>51</v>
      </c>
      <c r="D40" s="1" t="s">
        <v>52</v>
      </c>
      <c r="E40" s="1" t="s">
        <v>53</v>
      </c>
      <c r="F40">
        <v>7</v>
      </c>
      <c r="G40" t="str">
        <f>VLOOKUP(A40,[1]inrix_key!$A:$C,3,FALSE)</f>
        <v>McMillan_N</v>
      </c>
    </row>
    <row r="41" spans="1:7" hidden="1" x14ac:dyDescent="0.25">
      <c r="A41">
        <v>119501618</v>
      </c>
      <c r="B41" t="s">
        <v>8</v>
      </c>
      <c r="C41">
        <v>-2.9062500000000002E-2</v>
      </c>
      <c r="D41">
        <v>-2.27060943493042</v>
      </c>
      <c r="E41" s="1" t="s">
        <v>54</v>
      </c>
      <c r="F41">
        <v>8</v>
      </c>
      <c r="G41" t="str">
        <f>VLOOKUP(A41,[1]inrix_key!$A:$C,3,FALSE)</f>
        <v>McMillan_N</v>
      </c>
    </row>
    <row r="42" spans="1:7" hidden="1" x14ac:dyDescent="0.25">
      <c r="A42">
        <v>119501618</v>
      </c>
      <c r="B42" t="s">
        <v>10</v>
      </c>
      <c r="C42">
        <v>2.20588235294116E-3</v>
      </c>
      <c r="D42" s="1" t="s">
        <v>55</v>
      </c>
      <c r="E42" s="1" t="s">
        <v>56</v>
      </c>
      <c r="F42">
        <v>17</v>
      </c>
      <c r="G42" t="str">
        <f>VLOOKUP(A42,[1]inrix_key!$A:$C,3,FALSE)</f>
        <v>McMillan_N</v>
      </c>
    </row>
    <row r="43" spans="1:7" hidden="1" x14ac:dyDescent="0.25">
      <c r="A43">
        <v>119501618</v>
      </c>
      <c r="B43" t="s">
        <v>12</v>
      </c>
      <c r="C43">
        <v>-5.5412280701754302E-2</v>
      </c>
      <c r="D43">
        <v>-4.6804543653452004</v>
      </c>
      <c r="E43" s="1" t="s">
        <v>57</v>
      </c>
      <c r="F43">
        <v>38</v>
      </c>
      <c r="G43" t="str">
        <f>VLOOKUP(A43,[1]inrix_key!$A:$C,3,FALSE)</f>
        <v>McMillan_N</v>
      </c>
    </row>
    <row r="44" spans="1:7" hidden="1" x14ac:dyDescent="0.25">
      <c r="A44">
        <v>119501618</v>
      </c>
      <c r="B44" t="s">
        <v>14</v>
      </c>
      <c r="C44" s="1" t="s">
        <v>58</v>
      </c>
      <c r="D44">
        <v>1.3417933410582701</v>
      </c>
      <c r="E44" s="1" t="s">
        <v>59</v>
      </c>
      <c r="F44">
        <v>20</v>
      </c>
      <c r="G44" t="str">
        <f>VLOOKUP(A44,[1]inrix_key!$A:$C,3,FALSE)</f>
        <v>McMillan_N</v>
      </c>
    </row>
    <row r="45" spans="1:7" hidden="1" x14ac:dyDescent="0.25">
      <c r="A45">
        <v>119501618</v>
      </c>
      <c r="B45" t="s">
        <v>16</v>
      </c>
      <c r="C45">
        <v>-0.13546923076923001</v>
      </c>
      <c r="D45">
        <v>-3.8574666234834298</v>
      </c>
      <c r="E45">
        <v>3.8619865460561898E-3</v>
      </c>
      <c r="F45">
        <v>10</v>
      </c>
      <c r="G45" t="str">
        <f>VLOOKUP(A45,[1]inrix_key!$A:$C,3,FALSE)</f>
        <v>McMillan_N</v>
      </c>
    </row>
    <row r="46" spans="1:7" hidden="1" x14ac:dyDescent="0.25">
      <c r="A46">
        <v>119501618</v>
      </c>
      <c r="B46" t="s">
        <v>19</v>
      </c>
      <c r="C46">
        <v>-1.4250919117647099E-2</v>
      </c>
      <c r="D46">
        <v>-1.57943310062109</v>
      </c>
      <c r="E46" s="1" t="s">
        <v>60</v>
      </c>
      <c r="F46">
        <v>8</v>
      </c>
      <c r="G46" t="str">
        <f>VLOOKUP(A46,[1]inrix_key!$A:$C,3,FALSE)</f>
        <v>McMillan_N</v>
      </c>
    </row>
    <row r="47" spans="1:7" hidden="1" x14ac:dyDescent="0.25">
      <c r="A47">
        <v>119501618</v>
      </c>
      <c r="B47" t="s">
        <v>21</v>
      </c>
      <c r="C47">
        <v>3.5423204205924701E-2</v>
      </c>
      <c r="D47" s="1" t="s">
        <v>61</v>
      </c>
      <c r="E47">
        <v>6.0004122743555502E-2</v>
      </c>
      <c r="F47">
        <v>20</v>
      </c>
      <c r="G47" t="str">
        <f>VLOOKUP(A47,[1]inrix_key!$A:$C,3,FALSE)</f>
        <v>McMillan_N</v>
      </c>
    </row>
    <row r="48" spans="1:7" hidden="1" x14ac:dyDescent="0.25">
      <c r="A48">
        <v>119501618</v>
      </c>
      <c r="B48" t="s">
        <v>25</v>
      </c>
      <c r="C48">
        <v>-1.7500437320677201E-2</v>
      </c>
      <c r="D48">
        <v>-1.7166658351848101</v>
      </c>
      <c r="E48">
        <v>9.4402269982350295E-2</v>
      </c>
      <c r="F48">
        <v>38</v>
      </c>
      <c r="G48" t="str">
        <f>VLOOKUP(A48,[1]inrix_key!$A:$C,3,FALSE)</f>
        <v>McMillan_N</v>
      </c>
    </row>
    <row r="49" spans="1:7" hidden="1" x14ac:dyDescent="0.25">
      <c r="A49">
        <v>384121516</v>
      </c>
      <c r="B49" t="s">
        <v>6</v>
      </c>
      <c r="C49">
        <v>1.8833333333333299E-2</v>
      </c>
      <c r="D49" s="1" t="s">
        <v>62</v>
      </c>
      <c r="E49" s="1" t="s">
        <v>63</v>
      </c>
      <c r="F49">
        <v>20</v>
      </c>
      <c r="G49" t="str">
        <f>VLOOKUP(A49,[1]inrix_key!$A:$C,3,FALSE)</f>
        <v>McMillan_W</v>
      </c>
    </row>
    <row r="50" spans="1:7" hidden="1" x14ac:dyDescent="0.25">
      <c r="A50">
        <v>384121516</v>
      </c>
      <c r="B50" t="s">
        <v>7</v>
      </c>
      <c r="C50">
        <v>5.5624999999999897E-2</v>
      </c>
      <c r="D50" s="1" t="s">
        <v>64</v>
      </c>
      <c r="E50">
        <v>7.8518268817968695E-2</v>
      </c>
      <c r="F50">
        <v>4</v>
      </c>
      <c r="G50" t="str">
        <f>VLOOKUP(A50,[1]inrix_key!$A:$C,3,FALSE)</f>
        <v>McMillan_W</v>
      </c>
    </row>
    <row r="51" spans="1:7" hidden="1" x14ac:dyDescent="0.25">
      <c r="A51">
        <v>384121516</v>
      </c>
      <c r="B51" t="s">
        <v>8</v>
      </c>
      <c r="C51">
        <v>1.8750000000000099E-3</v>
      </c>
      <c r="D51">
        <v>7.3686024916765694E-2</v>
      </c>
      <c r="E51" s="1" t="s">
        <v>65</v>
      </c>
      <c r="F51">
        <v>8</v>
      </c>
      <c r="G51" t="str">
        <f>VLOOKUP(A51,[1]inrix_key!$A:$C,3,FALSE)</f>
        <v>McMillan_W</v>
      </c>
    </row>
    <row r="52" spans="1:7" hidden="1" x14ac:dyDescent="0.25">
      <c r="A52">
        <v>384121516</v>
      </c>
      <c r="B52" t="s">
        <v>10</v>
      </c>
      <c r="C52">
        <v>6.9055555555555495E-2</v>
      </c>
      <c r="D52" s="1" t="s">
        <v>66</v>
      </c>
      <c r="E52" s="1" t="s">
        <v>67</v>
      </c>
      <c r="F52">
        <v>15</v>
      </c>
      <c r="G52" t="str">
        <f>VLOOKUP(A52,[1]inrix_key!$A:$C,3,FALSE)</f>
        <v>McMillan_W</v>
      </c>
    </row>
    <row r="53" spans="1:7" hidden="1" x14ac:dyDescent="0.25">
      <c r="A53">
        <v>384121516</v>
      </c>
      <c r="B53" t="s">
        <v>12</v>
      </c>
      <c r="C53">
        <v>4.6008771929824501E-3</v>
      </c>
      <c r="D53" s="1" t="s">
        <v>68</v>
      </c>
      <c r="E53" s="1" t="s">
        <v>69</v>
      </c>
      <c r="F53">
        <v>38</v>
      </c>
      <c r="G53" t="str">
        <f>VLOOKUP(A53,[1]inrix_key!$A:$C,3,FALSE)</f>
        <v>McMillan_W</v>
      </c>
    </row>
    <row r="54" spans="1:7" hidden="1" x14ac:dyDescent="0.25">
      <c r="A54">
        <v>384121516</v>
      </c>
      <c r="B54" t="s">
        <v>14</v>
      </c>
      <c r="C54">
        <v>1.32965686274505E-4</v>
      </c>
      <c r="D54">
        <v>2.1424062428480901E-2</v>
      </c>
      <c r="E54" s="1" t="s">
        <v>70</v>
      </c>
      <c r="F54">
        <v>20</v>
      </c>
      <c r="G54" t="str">
        <f>VLOOKUP(A54,[1]inrix_key!$A:$C,3,FALSE)</f>
        <v>McMillan_W</v>
      </c>
    </row>
    <row r="55" spans="1:7" hidden="1" x14ac:dyDescent="0.25">
      <c r="A55">
        <v>384121516</v>
      </c>
      <c r="B55" t="s">
        <v>16</v>
      </c>
      <c r="C55" s="1" t="s">
        <v>71</v>
      </c>
      <c r="D55">
        <v>0.82826702818561104</v>
      </c>
      <c r="E55" s="1" t="s">
        <v>72</v>
      </c>
      <c r="F55">
        <v>6</v>
      </c>
      <c r="G55" t="str">
        <f>VLOOKUP(A55,[1]inrix_key!$A:$C,3,FALSE)</f>
        <v>McMillan_W</v>
      </c>
    </row>
    <row r="56" spans="1:7" hidden="1" x14ac:dyDescent="0.25">
      <c r="A56">
        <v>384121516</v>
      </c>
      <c r="B56" t="s">
        <v>19</v>
      </c>
      <c r="C56">
        <v>4.8272058823529097E-3</v>
      </c>
      <c r="D56" s="1" t="s">
        <v>73</v>
      </c>
      <c r="E56" s="1" t="s">
        <v>74</v>
      </c>
      <c r="F56">
        <v>8</v>
      </c>
      <c r="G56" t="str">
        <f>VLOOKUP(A56,[1]inrix_key!$A:$C,3,FALSE)</f>
        <v>McMillan_W</v>
      </c>
    </row>
    <row r="57" spans="1:7" hidden="1" x14ac:dyDescent="0.25">
      <c r="A57">
        <v>384121516</v>
      </c>
      <c r="B57" t="s">
        <v>21</v>
      </c>
      <c r="C57" s="1" t="s">
        <v>75</v>
      </c>
      <c r="D57" s="1" t="s">
        <v>76</v>
      </c>
      <c r="E57">
        <v>7.07090332647273E-2</v>
      </c>
      <c r="F57">
        <v>18</v>
      </c>
      <c r="G57" t="str">
        <f>VLOOKUP(A57,[1]inrix_key!$A:$C,3,FALSE)</f>
        <v>McMillan_W</v>
      </c>
    </row>
    <row r="58" spans="1:7" hidden="1" x14ac:dyDescent="0.25">
      <c r="A58">
        <v>384121516</v>
      </c>
      <c r="B58" t="s">
        <v>25</v>
      </c>
      <c r="C58">
        <v>-1.3451625344040199E-2</v>
      </c>
      <c r="D58">
        <v>-2.2996264058442599</v>
      </c>
      <c r="E58" s="1" t="s">
        <v>77</v>
      </c>
      <c r="F58">
        <v>38</v>
      </c>
      <c r="G58" t="str">
        <f>VLOOKUP(A58,[1]inrix_key!$A:$C,3,FALSE)</f>
        <v>McMillan_W</v>
      </c>
    </row>
    <row r="59" spans="1:7" hidden="1" x14ac:dyDescent="0.25">
      <c r="A59">
        <v>384139881</v>
      </c>
      <c r="B59" t="s">
        <v>6</v>
      </c>
      <c r="C59">
        <v>-7.0374999999999993E-2</v>
      </c>
      <c r="D59">
        <v>-4.6637018200202203</v>
      </c>
      <c r="E59">
        <v>1.69240409021098E-4</v>
      </c>
      <c r="F59">
        <v>20</v>
      </c>
      <c r="G59" t="str">
        <f>VLOOKUP(A59,[1]inrix_key!$A:$C,3,FALSE)</f>
        <v>Pine_W</v>
      </c>
    </row>
    <row r="60" spans="1:7" hidden="1" x14ac:dyDescent="0.25">
      <c r="A60">
        <v>384139881</v>
      </c>
      <c r="B60" t="s">
        <v>7</v>
      </c>
      <c r="C60">
        <v>-6.8749999999999895E-2</v>
      </c>
      <c r="D60">
        <v>-2.7465689319140698</v>
      </c>
      <c r="E60">
        <v>7.0946076439686201E-2</v>
      </c>
      <c r="F60">
        <v>4</v>
      </c>
      <c r="G60" t="str">
        <f>VLOOKUP(A60,[1]inrix_key!$A:$C,3,FALSE)</f>
        <v>Pine_W</v>
      </c>
    </row>
    <row r="61" spans="1:7" hidden="1" x14ac:dyDescent="0.25">
      <c r="A61">
        <v>384139881</v>
      </c>
      <c r="B61" t="s">
        <v>8</v>
      </c>
      <c r="C61">
        <v>-9.5833333333333201E-2</v>
      </c>
      <c r="D61">
        <v>-2.2364907945551802</v>
      </c>
      <c r="E61">
        <v>6.0389735585917703E-2</v>
      </c>
      <c r="F61">
        <v>8</v>
      </c>
      <c r="G61" t="str">
        <f>VLOOKUP(A61,[1]inrix_key!$A:$C,3,FALSE)</f>
        <v>Pine_W</v>
      </c>
    </row>
    <row r="62" spans="1:7" hidden="1" x14ac:dyDescent="0.25">
      <c r="A62">
        <v>384139881</v>
      </c>
      <c r="B62" t="s">
        <v>10</v>
      </c>
      <c r="C62">
        <v>-0.14833333333333301</v>
      </c>
      <c r="D62">
        <v>-4.4409959799767798</v>
      </c>
      <c r="E62">
        <v>6.6553468564753404E-4</v>
      </c>
      <c r="F62">
        <v>14</v>
      </c>
      <c r="G62" t="str">
        <f>VLOOKUP(A62,[1]inrix_key!$A:$C,3,FALSE)</f>
        <v>Pine_W</v>
      </c>
    </row>
    <row r="63" spans="1:7" hidden="1" x14ac:dyDescent="0.25">
      <c r="A63">
        <v>384139881</v>
      </c>
      <c r="B63" t="s">
        <v>12</v>
      </c>
      <c r="C63">
        <v>-0.129617647058823</v>
      </c>
      <c r="D63">
        <v>-6.0265683090281401</v>
      </c>
      <c r="E63" s="1" t="s">
        <v>78</v>
      </c>
      <c r="F63">
        <v>34</v>
      </c>
      <c r="G63" t="str">
        <f>VLOOKUP(A63,[1]inrix_key!$A:$C,3,FALSE)</f>
        <v>Pine_W</v>
      </c>
    </row>
    <row r="64" spans="1:7" hidden="1" x14ac:dyDescent="0.25">
      <c r="A64">
        <v>384139881</v>
      </c>
      <c r="B64" t="s">
        <v>14</v>
      </c>
      <c r="C64">
        <v>-8.6549632352941094E-2</v>
      </c>
      <c r="D64">
        <v>-6.2952629855603801</v>
      </c>
      <c r="E64" s="1" t="s">
        <v>79</v>
      </c>
      <c r="F64">
        <v>20</v>
      </c>
      <c r="G64" t="str">
        <f>VLOOKUP(A64,[1]inrix_key!$A:$C,3,FALSE)</f>
        <v>Pine_W</v>
      </c>
    </row>
    <row r="65" spans="1:7" hidden="1" x14ac:dyDescent="0.25">
      <c r="A65">
        <v>384139881</v>
      </c>
      <c r="B65" t="s">
        <v>16</v>
      </c>
      <c r="C65">
        <v>-6.9642857142857104E-2</v>
      </c>
      <c r="D65">
        <v>-1.5512476172337599</v>
      </c>
      <c r="E65" s="1" t="s">
        <v>80</v>
      </c>
      <c r="F65">
        <v>7</v>
      </c>
      <c r="G65" t="str">
        <f>VLOOKUP(A65,[1]inrix_key!$A:$C,3,FALSE)</f>
        <v>Pine_W</v>
      </c>
    </row>
    <row r="66" spans="1:7" hidden="1" x14ac:dyDescent="0.25">
      <c r="A66">
        <v>384139881</v>
      </c>
      <c r="B66" t="s">
        <v>19</v>
      </c>
      <c r="C66">
        <v>-8.4117647058823505E-2</v>
      </c>
      <c r="D66">
        <v>-4.8274163101548098</v>
      </c>
      <c r="E66">
        <v>1.9051227485429999E-3</v>
      </c>
      <c r="F66">
        <v>8</v>
      </c>
      <c r="G66" t="str">
        <f>VLOOKUP(A66,[1]inrix_key!$A:$C,3,FALSE)</f>
        <v>Pine_W</v>
      </c>
    </row>
    <row r="67" spans="1:7" hidden="1" x14ac:dyDescent="0.25">
      <c r="A67">
        <v>384139881</v>
      </c>
      <c r="B67" t="s">
        <v>21</v>
      </c>
      <c r="C67">
        <v>-0.15952893017715</v>
      </c>
      <c r="D67">
        <v>-8.0623507626869699</v>
      </c>
      <c r="E67" s="1" t="s">
        <v>81</v>
      </c>
      <c r="F67">
        <v>19</v>
      </c>
      <c r="G67" t="str">
        <f>VLOOKUP(A67,[1]inrix_key!$A:$C,3,FALSE)</f>
        <v>Pine_W</v>
      </c>
    </row>
    <row r="68" spans="1:7" hidden="1" x14ac:dyDescent="0.25">
      <c r="A68">
        <v>384139881</v>
      </c>
      <c r="B68" t="s">
        <v>25</v>
      </c>
      <c r="C68">
        <v>-0.123419721016857</v>
      </c>
      <c r="D68">
        <v>-11.1840096447359</v>
      </c>
      <c r="E68" s="1" t="s">
        <v>82</v>
      </c>
      <c r="F68">
        <v>38</v>
      </c>
      <c r="G68" t="str">
        <f>VLOOKUP(A68,[1]inrix_key!$A:$C,3,FALSE)</f>
        <v>Pine_W</v>
      </c>
    </row>
    <row r="69" spans="1:7" hidden="1" x14ac:dyDescent="0.25">
      <c r="A69">
        <v>428958433</v>
      </c>
      <c r="B69" t="s">
        <v>6</v>
      </c>
      <c r="C69">
        <v>-1.175E-2</v>
      </c>
      <c r="D69">
        <v>-5.9115743312678397</v>
      </c>
      <c r="E69" s="1" t="s">
        <v>83</v>
      </c>
      <c r="F69">
        <v>20</v>
      </c>
      <c r="G69" t="str">
        <f>VLOOKUP(A69,[1]inrix_key!$A:$C,3,FALSE)</f>
        <v>EB_S</v>
      </c>
    </row>
    <row r="70" spans="1:7" hidden="1" x14ac:dyDescent="0.25">
      <c r="A70">
        <v>428958433</v>
      </c>
      <c r="B70" t="s">
        <v>7</v>
      </c>
      <c r="C70" s="1" t="s">
        <v>84</v>
      </c>
      <c r="D70" s="1" t="s">
        <v>85</v>
      </c>
      <c r="E70" s="1" t="s">
        <v>86</v>
      </c>
      <c r="F70">
        <v>2</v>
      </c>
      <c r="G70" t="str">
        <f>VLOOKUP(A70,[1]inrix_key!$A:$C,3,FALSE)</f>
        <v>EB_S</v>
      </c>
    </row>
    <row r="71" spans="1:7" hidden="1" x14ac:dyDescent="0.25">
      <c r="A71">
        <v>428958433</v>
      </c>
      <c r="B71" t="s">
        <v>8</v>
      </c>
      <c r="C71">
        <v>2.5000000000000001E-3</v>
      </c>
      <c r="D71" s="1" t="s">
        <v>87</v>
      </c>
      <c r="E71" s="1" t="s">
        <v>88</v>
      </c>
      <c r="F71">
        <v>8</v>
      </c>
      <c r="G71" t="str">
        <f>VLOOKUP(A71,[1]inrix_key!$A:$C,3,FALSE)</f>
        <v>EB_S</v>
      </c>
    </row>
    <row r="72" spans="1:7" hidden="1" x14ac:dyDescent="0.25">
      <c r="A72">
        <v>428958433</v>
      </c>
      <c r="B72" t="s">
        <v>10</v>
      </c>
      <c r="C72">
        <v>-9.0476190476190509E-3</v>
      </c>
      <c r="D72">
        <v>-2.9064229576611602</v>
      </c>
      <c r="E72" s="1" t="s">
        <v>89</v>
      </c>
      <c r="F72">
        <v>14</v>
      </c>
      <c r="G72" t="str">
        <f>VLOOKUP(A72,[1]inrix_key!$A:$C,3,FALSE)</f>
        <v>EB_S</v>
      </c>
    </row>
    <row r="73" spans="1:7" hidden="1" x14ac:dyDescent="0.25">
      <c r="A73">
        <v>428958433</v>
      </c>
      <c r="B73" t="s">
        <v>12</v>
      </c>
      <c r="C73">
        <v>-3.2882882882882799E-3</v>
      </c>
      <c r="D73">
        <v>-1.2556717106686901</v>
      </c>
      <c r="E73" s="1" t="s">
        <v>90</v>
      </c>
      <c r="F73">
        <v>37</v>
      </c>
      <c r="G73" t="str">
        <f>VLOOKUP(A73,[1]inrix_key!$A:$C,3,FALSE)</f>
        <v>EB_S</v>
      </c>
    </row>
    <row r="74" spans="1:7" hidden="1" x14ac:dyDescent="0.25">
      <c r="A74">
        <v>428958433</v>
      </c>
      <c r="B74" t="s">
        <v>14</v>
      </c>
      <c r="C74">
        <v>-1.6713235294117602E-2</v>
      </c>
      <c r="D74">
        <v>-8.3862985218781301</v>
      </c>
      <c r="E74" s="1" t="s">
        <v>91</v>
      </c>
      <c r="F74">
        <v>20</v>
      </c>
      <c r="G74" t="str">
        <f>VLOOKUP(A74,[1]inrix_key!$A:$C,3,FALSE)</f>
        <v>EB_S</v>
      </c>
    </row>
    <row r="75" spans="1:7" hidden="1" x14ac:dyDescent="0.25">
      <c r="A75">
        <v>428958433</v>
      </c>
      <c r="B75" t="s">
        <v>16</v>
      </c>
      <c r="C75">
        <v>2.7537878787878699E-3</v>
      </c>
      <c r="D75" s="1" t="s">
        <v>92</v>
      </c>
      <c r="E75" s="1" t="s">
        <v>93</v>
      </c>
      <c r="F75">
        <v>8</v>
      </c>
      <c r="G75" t="str">
        <f>VLOOKUP(A75,[1]inrix_key!$A:$C,3,FALSE)</f>
        <v>EB_S</v>
      </c>
    </row>
    <row r="76" spans="1:7" hidden="1" x14ac:dyDescent="0.25">
      <c r="A76">
        <v>428958433</v>
      </c>
      <c r="B76" t="s">
        <v>19</v>
      </c>
      <c r="C76">
        <v>-1.1764705882352899E-2</v>
      </c>
      <c r="D76">
        <v>-1.2316936081349501</v>
      </c>
      <c r="E76" s="1" t="s">
        <v>94</v>
      </c>
      <c r="F76">
        <v>8</v>
      </c>
      <c r="G76" t="str">
        <f>VLOOKUP(A76,[1]inrix_key!$A:$C,3,FALSE)</f>
        <v>EB_S</v>
      </c>
    </row>
    <row r="77" spans="1:7" hidden="1" x14ac:dyDescent="0.25">
      <c r="A77">
        <v>428958433</v>
      </c>
      <c r="B77" t="s">
        <v>21</v>
      </c>
      <c r="C77">
        <v>-3.7264385940856499E-3</v>
      </c>
      <c r="D77">
        <v>-2.0158384356253101</v>
      </c>
      <c r="E77">
        <v>5.9904418433371603E-2</v>
      </c>
      <c r="F77">
        <v>18</v>
      </c>
      <c r="G77" t="str">
        <f>VLOOKUP(A77,[1]inrix_key!$A:$C,3,FALSE)</f>
        <v>EB_S</v>
      </c>
    </row>
    <row r="78" spans="1:7" hidden="1" x14ac:dyDescent="0.25">
      <c r="A78">
        <v>428958433</v>
      </c>
      <c r="B78" t="s">
        <v>25</v>
      </c>
      <c r="C78">
        <v>-8.2675484734308202E-3</v>
      </c>
      <c r="D78">
        <v>-3.9596030052264699</v>
      </c>
      <c r="E78">
        <v>3.3915351594294302E-4</v>
      </c>
      <c r="F78">
        <v>37</v>
      </c>
      <c r="G78" t="str">
        <f>VLOOKUP(A78,[1]inrix_key!$A:$C,3,FALSE)</f>
        <v>EB_S</v>
      </c>
    </row>
    <row r="79" spans="1:7" hidden="1" x14ac:dyDescent="0.25">
      <c r="A79">
        <v>428958434</v>
      </c>
      <c r="B79" t="s">
        <v>6</v>
      </c>
      <c r="C79">
        <v>-3.5874999999999997E-2</v>
      </c>
      <c r="D79">
        <v>-2.98764740866718</v>
      </c>
      <c r="E79">
        <v>7.5657568692588497E-3</v>
      </c>
      <c r="F79">
        <v>20</v>
      </c>
      <c r="G79">
        <f>VLOOKUP(A79,[1]inrix_key!$A:$C,3,FALSE)</f>
        <v>0</v>
      </c>
    </row>
    <row r="80" spans="1:7" hidden="1" x14ac:dyDescent="0.25">
      <c r="A80">
        <v>428958434</v>
      </c>
      <c r="B80" t="s">
        <v>7</v>
      </c>
      <c r="C80">
        <v>-6.5000000000000002E-2</v>
      </c>
      <c r="D80">
        <v>-2.3586600538126201</v>
      </c>
      <c r="E80">
        <v>7.7776529627572602E-2</v>
      </c>
      <c r="F80">
        <v>5</v>
      </c>
      <c r="G80">
        <f>VLOOKUP(A80,[1]inrix_key!$A:$C,3,FALSE)</f>
        <v>0</v>
      </c>
    </row>
    <row r="81" spans="1:7" hidden="1" x14ac:dyDescent="0.25">
      <c r="A81">
        <v>428958434</v>
      </c>
      <c r="B81" t="s">
        <v>8</v>
      </c>
      <c r="C81">
        <v>-4.7812499999999897E-2</v>
      </c>
      <c r="D81">
        <v>-1.5273077655719001</v>
      </c>
      <c r="E81" s="1" t="s">
        <v>95</v>
      </c>
      <c r="F81">
        <v>8</v>
      </c>
      <c r="G81">
        <f>VLOOKUP(A81,[1]inrix_key!$A:$C,3,FALSE)</f>
        <v>0</v>
      </c>
    </row>
    <row r="82" spans="1:7" hidden="1" x14ac:dyDescent="0.25">
      <c r="A82">
        <v>428958434</v>
      </c>
      <c r="B82" t="s">
        <v>10</v>
      </c>
      <c r="C82">
        <v>3.54166666666665E-3</v>
      </c>
      <c r="D82" s="1" t="s">
        <v>96</v>
      </c>
      <c r="E82" s="1" t="s">
        <v>97</v>
      </c>
      <c r="F82">
        <v>20</v>
      </c>
      <c r="G82">
        <f>VLOOKUP(A82,[1]inrix_key!$A:$C,3,FALSE)</f>
        <v>0</v>
      </c>
    </row>
    <row r="83" spans="1:7" hidden="1" x14ac:dyDescent="0.25">
      <c r="A83">
        <v>428958434</v>
      </c>
      <c r="B83" t="s">
        <v>12</v>
      </c>
      <c r="C83">
        <v>-6.8464912280701597E-3</v>
      </c>
      <c r="D83">
        <v>-0.84300467445938099</v>
      </c>
      <c r="E83" s="1" t="s">
        <v>98</v>
      </c>
      <c r="F83">
        <v>38</v>
      </c>
      <c r="G83">
        <f>VLOOKUP(A83,[1]inrix_key!$A:$C,3,FALSE)</f>
        <v>0</v>
      </c>
    </row>
    <row r="84" spans="1:7" hidden="1" x14ac:dyDescent="0.25">
      <c r="A84">
        <v>428958434</v>
      </c>
      <c r="B84" t="s">
        <v>14</v>
      </c>
      <c r="C84">
        <v>-7.1711397058823498E-2</v>
      </c>
      <c r="D84">
        <v>-5.8832406320837096</v>
      </c>
      <c r="E84" s="1" t="s">
        <v>99</v>
      </c>
      <c r="F84">
        <v>20</v>
      </c>
      <c r="G84">
        <f>VLOOKUP(A84,[1]inrix_key!$A:$C,3,FALSE)</f>
        <v>0</v>
      </c>
    </row>
    <row r="85" spans="1:7" hidden="1" x14ac:dyDescent="0.25">
      <c r="A85">
        <v>428958434</v>
      </c>
      <c r="B85" t="s">
        <v>16</v>
      </c>
      <c r="C85">
        <v>-3.1642662892662402E-4</v>
      </c>
      <c r="D85">
        <v>-3.3907973845130203E-2</v>
      </c>
      <c r="E85" s="1" t="s">
        <v>100</v>
      </c>
      <c r="F85">
        <v>10</v>
      </c>
      <c r="G85">
        <f>VLOOKUP(A85,[1]inrix_key!$A:$C,3,FALSE)</f>
        <v>0</v>
      </c>
    </row>
    <row r="86" spans="1:7" hidden="1" x14ac:dyDescent="0.25">
      <c r="A86">
        <v>428958434</v>
      </c>
      <c r="B86" t="s">
        <v>19</v>
      </c>
      <c r="C86">
        <v>-7.3368566176470501E-2</v>
      </c>
      <c r="D86">
        <v>-4.2911879322675404</v>
      </c>
      <c r="E86">
        <v>3.6054218607487099E-3</v>
      </c>
      <c r="F86">
        <v>8</v>
      </c>
      <c r="G86">
        <f>VLOOKUP(A86,[1]inrix_key!$A:$C,3,FALSE)</f>
        <v>0</v>
      </c>
    </row>
    <row r="87" spans="1:7" hidden="1" x14ac:dyDescent="0.25">
      <c r="A87">
        <v>428958434</v>
      </c>
      <c r="B87" t="s">
        <v>21</v>
      </c>
      <c r="C87">
        <v>-1.41548053253935E-2</v>
      </c>
      <c r="D87">
        <v>-1.46789839811694</v>
      </c>
      <c r="E87" s="1" t="s">
        <v>101</v>
      </c>
      <c r="F87">
        <v>20</v>
      </c>
      <c r="G87">
        <f>VLOOKUP(A87,[1]inrix_key!$A:$C,3,FALSE)</f>
        <v>0</v>
      </c>
    </row>
    <row r="88" spans="1:7" hidden="1" x14ac:dyDescent="0.25">
      <c r="A88">
        <v>428958434</v>
      </c>
      <c r="B88" t="s">
        <v>25</v>
      </c>
      <c r="C88">
        <v>-2.6990220649663301E-2</v>
      </c>
      <c r="D88">
        <v>-4.7432143089183096</v>
      </c>
      <c r="E88" s="1" t="s">
        <v>102</v>
      </c>
      <c r="F88">
        <v>38</v>
      </c>
      <c r="G88">
        <f>VLOOKUP(A88,[1]inrix_key!$A:$C,3,FALSE)</f>
        <v>0</v>
      </c>
    </row>
    <row r="89" spans="1:7" hidden="1" x14ac:dyDescent="0.25">
      <c r="A89">
        <v>428958435</v>
      </c>
      <c r="B89" t="s">
        <v>6</v>
      </c>
      <c r="C89">
        <v>-7.0124999999999896E-2</v>
      </c>
      <c r="D89">
        <v>-5.9649770106462698</v>
      </c>
      <c r="E89" s="1" t="s">
        <v>103</v>
      </c>
      <c r="F89">
        <v>20</v>
      </c>
      <c r="G89">
        <f>VLOOKUP(A89,[1]inrix_key!$A:$C,3,FALSE)</f>
        <v>0</v>
      </c>
    </row>
    <row r="90" spans="1:7" hidden="1" x14ac:dyDescent="0.25">
      <c r="A90">
        <v>428958435</v>
      </c>
      <c r="B90" t="s">
        <v>7</v>
      </c>
      <c r="C90">
        <v>-1.7250000000000001E-2</v>
      </c>
      <c r="D90">
        <v>-1.16043147410159</v>
      </c>
      <c r="E90" s="1" t="s">
        <v>104</v>
      </c>
      <c r="F90">
        <v>10</v>
      </c>
      <c r="G90">
        <f>VLOOKUP(A90,[1]inrix_key!$A:$C,3,FALSE)</f>
        <v>0</v>
      </c>
    </row>
    <row r="91" spans="1:7" hidden="1" x14ac:dyDescent="0.25">
      <c r="A91">
        <v>428958435</v>
      </c>
      <c r="B91" t="s">
        <v>8</v>
      </c>
      <c r="C91" s="1" t="s">
        <v>105</v>
      </c>
      <c r="D91" s="1" t="s">
        <v>106</v>
      </c>
      <c r="E91" s="1" t="s">
        <v>107</v>
      </c>
      <c r="F91">
        <v>8</v>
      </c>
      <c r="G91">
        <f>VLOOKUP(A91,[1]inrix_key!$A:$C,3,FALSE)</f>
        <v>0</v>
      </c>
    </row>
    <row r="92" spans="1:7" hidden="1" x14ac:dyDescent="0.25">
      <c r="A92">
        <v>428958435</v>
      </c>
      <c r="B92" t="s">
        <v>10</v>
      </c>
      <c r="C92">
        <v>-2.2124999999999999E-2</v>
      </c>
      <c r="D92">
        <v>-2.2794031217587301</v>
      </c>
      <c r="E92">
        <v>3.4370900653213597E-2</v>
      </c>
      <c r="F92">
        <v>20</v>
      </c>
      <c r="G92">
        <f>VLOOKUP(A92,[1]inrix_key!$A:$C,3,FALSE)</f>
        <v>0</v>
      </c>
    </row>
    <row r="93" spans="1:7" hidden="1" x14ac:dyDescent="0.25">
      <c r="A93">
        <v>428958435</v>
      </c>
      <c r="B93" t="s">
        <v>12</v>
      </c>
      <c r="C93">
        <v>-2.80657894736842E-2</v>
      </c>
      <c r="D93">
        <v>-2.0955511476128099</v>
      </c>
      <c r="E93">
        <v>4.3022559585294697E-2</v>
      </c>
      <c r="F93">
        <v>38</v>
      </c>
      <c r="G93">
        <f>VLOOKUP(A93,[1]inrix_key!$A:$C,3,FALSE)</f>
        <v>0</v>
      </c>
    </row>
    <row r="94" spans="1:7" hidden="1" x14ac:dyDescent="0.25">
      <c r="A94">
        <v>428958435</v>
      </c>
      <c r="B94" t="s">
        <v>14</v>
      </c>
      <c r="C94">
        <v>-9.3463235294117597E-2</v>
      </c>
      <c r="D94">
        <v>-10.9896514350765</v>
      </c>
      <c r="E94" s="1" t="s">
        <v>108</v>
      </c>
      <c r="F94">
        <v>20</v>
      </c>
      <c r="G94">
        <f>VLOOKUP(A94,[1]inrix_key!$A:$C,3,FALSE)</f>
        <v>0</v>
      </c>
    </row>
    <row r="95" spans="1:7" hidden="1" x14ac:dyDescent="0.25">
      <c r="A95">
        <v>428958435</v>
      </c>
      <c r="B95" t="s">
        <v>16</v>
      </c>
      <c r="C95">
        <v>-4.9347902097902102E-2</v>
      </c>
      <c r="D95">
        <v>-12.608273544830899</v>
      </c>
      <c r="E95" s="1" t="s">
        <v>109</v>
      </c>
      <c r="F95">
        <v>10</v>
      </c>
      <c r="G95">
        <f>VLOOKUP(A95,[1]inrix_key!$A:$C,3,FALSE)</f>
        <v>0</v>
      </c>
    </row>
    <row r="96" spans="1:7" hidden="1" x14ac:dyDescent="0.25">
      <c r="A96">
        <v>428958435</v>
      </c>
      <c r="B96" t="s">
        <v>19</v>
      </c>
      <c r="C96">
        <v>-2.33869485294117E-2</v>
      </c>
      <c r="D96">
        <v>-0.52150580194533203</v>
      </c>
      <c r="E96">
        <v>0.61810276739972103</v>
      </c>
      <c r="F96">
        <v>8</v>
      </c>
      <c r="G96">
        <f>VLOOKUP(A96,[1]inrix_key!$A:$C,3,FALSE)</f>
        <v>0</v>
      </c>
    </row>
    <row r="97" spans="1:7" hidden="1" x14ac:dyDescent="0.25">
      <c r="A97">
        <v>428958435</v>
      </c>
      <c r="B97" t="s">
        <v>21</v>
      </c>
      <c r="C97">
        <v>-4.2374005610402603E-2</v>
      </c>
      <c r="D97">
        <v>-7.6827410068120203</v>
      </c>
      <c r="E97" s="1" t="s">
        <v>110</v>
      </c>
      <c r="F97">
        <v>20</v>
      </c>
      <c r="G97">
        <f>VLOOKUP(A97,[1]inrix_key!$A:$C,3,FALSE)</f>
        <v>0</v>
      </c>
    </row>
    <row r="98" spans="1:7" hidden="1" x14ac:dyDescent="0.25">
      <c r="A98">
        <v>428958435</v>
      </c>
      <c r="B98" t="s">
        <v>25</v>
      </c>
      <c r="C98">
        <v>-5.2690653580165898E-2</v>
      </c>
      <c r="D98">
        <v>-4.0486174203674103</v>
      </c>
      <c r="E98">
        <v>2.5263362640701398E-4</v>
      </c>
      <c r="F98">
        <v>38</v>
      </c>
      <c r="G98">
        <f>VLOOKUP(A98,[1]inrix_key!$A:$C,3,FALSE)</f>
        <v>0</v>
      </c>
    </row>
    <row r="99" spans="1:7" hidden="1" x14ac:dyDescent="0.25">
      <c r="A99">
        <v>448694747</v>
      </c>
      <c r="B99" t="s">
        <v>6</v>
      </c>
      <c r="C99">
        <v>9.8624999999999893E-2</v>
      </c>
      <c r="D99" s="1" t="s">
        <v>111</v>
      </c>
      <c r="E99">
        <v>3.954673498271E-4</v>
      </c>
      <c r="F99">
        <v>20</v>
      </c>
      <c r="G99" t="str">
        <f>VLOOKUP(A99,[1]inrix_key!$A:$C,3,FALSE)</f>
        <v>Fairview_W</v>
      </c>
    </row>
    <row r="100" spans="1:7" hidden="1" x14ac:dyDescent="0.25">
      <c r="A100">
        <v>448694747</v>
      </c>
      <c r="B100" t="s">
        <v>7</v>
      </c>
      <c r="C100" s="1" t="s">
        <v>112</v>
      </c>
      <c r="D100" s="1" t="s">
        <v>113</v>
      </c>
      <c r="E100" s="1" t="s">
        <v>114</v>
      </c>
      <c r="F100">
        <v>9</v>
      </c>
      <c r="G100" t="str">
        <f>VLOOKUP(A100,[1]inrix_key!$A:$C,3,FALSE)</f>
        <v>Fairview_W</v>
      </c>
    </row>
    <row r="101" spans="1:7" hidden="1" x14ac:dyDescent="0.25">
      <c r="A101">
        <v>448694747</v>
      </c>
      <c r="B101" t="s">
        <v>8</v>
      </c>
      <c r="C101">
        <v>0.145625</v>
      </c>
      <c r="D101">
        <v>7.0421541642732901</v>
      </c>
      <c r="E101">
        <v>2.0379499484776201E-4</v>
      </c>
      <c r="F101">
        <v>8</v>
      </c>
      <c r="G101" t="str">
        <f>VLOOKUP(A101,[1]inrix_key!$A:$C,3,FALSE)</f>
        <v>Fairview_W</v>
      </c>
    </row>
    <row r="102" spans="1:7" hidden="1" x14ac:dyDescent="0.25">
      <c r="A102">
        <v>448694747</v>
      </c>
      <c r="B102" t="s">
        <v>10</v>
      </c>
      <c r="C102" s="1" t="s">
        <v>115</v>
      </c>
      <c r="D102" s="1" t="s">
        <v>116</v>
      </c>
      <c r="E102" s="1" t="s">
        <v>117</v>
      </c>
      <c r="F102">
        <v>16</v>
      </c>
      <c r="G102" t="str">
        <f>VLOOKUP(A102,[1]inrix_key!$A:$C,3,FALSE)</f>
        <v>Fairview_W</v>
      </c>
    </row>
    <row r="103" spans="1:7" hidden="1" x14ac:dyDescent="0.25">
      <c r="A103">
        <v>448694747</v>
      </c>
      <c r="B103" t="s">
        <v>12</v>
      </c>
      <c r="C103">
        <v>3.6403508771931301E-4</v>
      </c>
      <c r="D103">
        <v>3.6682104090739298E-2</v>
      </c>
      <c r="E103" s="1" t="s">
        <v>118</v>
      </c>
      <c r="F103">
        <v>38</v>
      </c>
      <c r="G103" t="str">
        <f>VLOOKUP(A103,[1]inrix_key!$A:$C,3,FALSE)</f>
        <v>Fairview_W</v>
      </c>
    </row>
    <row r="104" spans="1:7" hidden="1" x14ac:dyDescent="0.25">
      <c r="A104">
        <v>448694747</v>
      </c>
      <c r="B104" t="s">
        <v>14</v>
      </c>
      <c r="C104" s="1" t="s">
        <v>119</v>
      </c>
      <c r="D104" s="1" t="s">
        <v>120</v>
      </c>
      <c r="E104" s="1" t="s">
        <v>121</v>
      </c>
      <c r="F104">
        <v>20</v>
      </c>
      <c r="G104" t="str">
        <f>VLOOKUP(A104,[1]inrix_key!$A:$C,3,FALSE)</f>
        <v>Fairview_W</v>
      </c>
    </row>
    <row r="105" spans="1:7" hidden="1" x14ac:dyDescent="0.25">
      <c r="A105">
        <v>448694747</v>
      </c>
      <c r="B105" t="s">
        <v>16</v>
      </c>
      <c r="C105">
        <v>6.9106868131868102E-2</v>
      </c>
      <c r="D105" s="1" t="s">
        <v>122</v>
      </c>
      <c r="E105">
        <v>1.9154577156324801E-3</v>
      </c>
      <c r="F105">
        <v>10</v>
      </c>
      <c r="G105" t="str">
        <f>VLOOKUP(A105,[1]inrix_key!$A:$C,3,FALSE)</f>
        <v>Fairview_W</v>
      </c>
    </row>
    <row r="106" spans="1:7" hidden="1" x14ac:dyDescent="0.25">
      <c r="A106">
        <v>448694747</v>
      </c>
      <c r="B106" t="s">
        <v>19</v>
      </c>
      <c r="C106">
        <v>9.1654411764705804E-2</v>
      </c>
      <c r="D106" s="1" t="s">
        <v>123</v>
      </c>
      <c r="E106">
        <v>2.4956740278513702E-4</v>
      </c>
      <c r="F106">
        <v>8</v>
      </c>
      <c r="G106" t="str">
        <f>VLOOKUP(A106,[1]inrix_key!$A:$C,3,FALSE)</f>
        <v>Fairview_W</v>
      </c>
    </row>
    <row r="107" spans="1:7" hidden="1" x14ac:dyDescent="0.25">
      <c r="A107">
        <v>448694747</v>
      </c>
      <c r="B107" t="s">
        <v>21</v>
      </c>
      <c r="C107">
        <v>3.9096794137235104E-3</v>
      </c>
      <c r="D107" s="1" t="s">
        <v>124</v>
      </c>
      <c r="E107" s="1" t="s">
        <v>125</v>
      </c>
      <c r="F107">
        <v>20</v>
      </c>
      <c r="G107" t="str">
        <f>VLOOKUP(A107,[1]inrix_key!$A:$C,3,FALSE)</f>
        <v>Fairview_W</v>
      </c>
    </row>
    <row r="108" spans="1:7" hidden="1" x14ac:dyDescent="0.25">
      <c r="A108">
        <v>448694747</v>
      </c>
      <c r="B108" t="s">
        <v>25</v>
      </c>
      <c r="C108">
        <v>-2.7994247109959002E-3</v>
      </c>
      <c r="D108">
        <v>-0.44431180237613599</v>
      </c>
      <c r="E108" s="1" t="s">
        <v>126</v>
      </c>
      <c r="F108">
        <v>38</v>
      </c>
      <c r="G108" t="str">
        <f>VLOOKUP(A108,[1]inrix_key!$A:$C,3,FALSE)</f>
        <v>Fairview_W</v>
      </c>
    </row>
    <row r="109" spans="1:7" hidden="1" x14ac:dyDescent="0.25">
      <c r="A109">
        <v>448694757</v>
      </c>
      <c r="B109" t="s">
        <v>6</v>
      </c>
      <c r="C109" s="1" t="s">
        <v>127</v>
      </c>
      <c r="D109" s="1" t="s">
        <v>128</v>
      </c>
      <c r="E109" s="1" t="s">
        <v>129</v>
      </c>
      <c r="F109">
        <v>20</v>
      </c>
      <c r="G109" t="str">
        <f>VLOOKUP(A109,[1]inrix_key!$A:$C,3,FALSE)</f>
        <v>Ustick_W</v>
      </c>
    </row>
    <row r="110" spans="1:7" hidden="1" x14ac:dyDescent="0.25">
      <c r="A110">
        <v>448694757</v>
      </c>
      <c r="B110" t="s">
        <v>7</v>
      </c>
      <c r="C110">
        <v>3.9999999999999897E-2</v>
      </c>
      <c r="F110">
        <v>1</v>
      </c>
      <c r="G110" t="str">
        <f>VLOOKUP(A110,[1]inrix_key!$A:$C,3,FALSE)</f>
        <v>Ustick_W</v>
      </c>
    </row>
    <row r="111" spans="1:7" hidden="1" x14ac:dyDescent="0.25">
      <c r="A111">
        <v>448694757</v>
      </c>
      <c r="B111" t="s">
        <v>8</v>
      </c>
      <c r="C111">
        <v>6.9791666666666696E-2</v>
      </c>
      <c r="D111" s="1" t="s">
        <v>130</v>
      </c>
      <c r="E111">
        <v>1.9748979937445101E-2</v>
      </c>
      <c r="F111">
        <v>8</v>
      </c>
      <c r="G111" t="str">
        <f>VLOOKUP(A111,[1]inrix_key!$A:$C,3,FALSE)</f>
        <v>Ustick_W</v>
      </c>
    </row>
    <row r="112" spans="1:7" hidden="1" x14ac:dyDescent="0.25">
      <c r="A112">
        <v>448694757</v>
      </c>
      <c r="B112" t="s">
        <v>10</v>
      </c>
      <c r="C112">
        <v>3.6319444444444397E-2</v>
      </c>
      <c r="D112" s="1" t="s">
        <v>131</v>
      </c>
      <c r="E112">
        <v>4.8136534541249202E-3</v>
      </c>
      <c r="F112">
        <v>12</v>
      </c>
      <c r="G112" t="str">
        <f>VLOOKUP(A112,[1]inrix_key!$A:$C,3,FALSE)</f>
        <v>Ustick_W</v>
      </c>
    </row>
    <row r="113" spans="1:7" hidden="1" x14ac:dyDescent="0.25">
      <c r="A113">
        <v>448694757</v>
      </c>
      <c r="B113" t="s">
        <v>12</v>
      </c>
      <c r="C113">
        <v>-1.8188596491228001E-2</v>
      </c>
      <c r="D113">
        <v>-2.3040008147702098</v>
      </c>
      <c r="E113">
        <v>2.6939304526741401E-2</v>
      </c>
      <c r="F113">
        <v>38</v>
      </c>
      <c r="G113" t="str">
        <f>VLOOKUP(A113,[1]inrix_key!$A:$C,3,FALSE)</f>
        <v>Ustick_W</v>
      </c>
    </row>
    <row r="114" spans="1:7" hidden="1" x14ac:dyDescent="0.25">
      <c r="A114">
        <v>448694757</v>
      </c>
      <c r="B114" t="s">
        <v>14</v>
      </c>
      <c r="C114">
        <v>-8.95772058823531E-3</v>
      </c>
      <c r="D114">
        <v>-0.90438014019690705</v>
      </c>
      <c r="E114" s="1" t="s">
        <v>132</v>
      </c>
      <c r="F114">
        <v>20</v>
      </c>
      <c r="G114" t="str">
        <f>VLOOKUP(A114,[1]inrix_key!$A:$C,3,FALSE)</f>
        <v>Ustick_W</v>
      </c>
    </row>
    <row r="115" spans="1:7" hidden="1" x14ac:dyDescent="0.25">
      <c r="A115">
        <v>448694757</v>
      </c>
      <c r="B115" t="s">
        <v>16</v>
      </c>
      <c r="C115">
        <v>3.6940972222222201E-2</v>
      </c>
      <c r="D115" s="1" t="s">
        <v>133</v>
      </c>
      <c r="E115">
        <v>1.5509960287987501E-3</v>
      </c>
      <c r="F115">
        <v>8</v>
      </c>
      <c r="G115" t="str">
        <f>VLOOKUP(A115,[1]inrix_key!$A:$C,3,FALSE)</f>
        <v>Ustick_W</v>
      </c>
    </row>
    <row r="116" spans="1:7" hidden="1" x14ac:dyDescent="0.25">
      <c r="A116">
        <v>448694757</v>
      </c>
      <c r="B116" t="s">
        <v>19</v>
      </c>
      <c r="C116" s="1" t="s">
        <v>134</v>
      </c>
      <c r="D116" s="1" t="s">
        <v>135</v>
      </c>
      <c r="E116" s="1" t="s">
        <v>136</v>
      </c>
      <c r="F116">
        <v>8</v>
      </c>
      <c r="G116" t="str">
        <f>VLOOKUP(A116,[1]inrix_key!$A:$C,3,FALSE)</f>
        <v>Ustick_W</v>
      </c>
    </row>
    <row r="117" spans="1:7" hidden="1" x14ac:dyDescent="0.25">
      <c r="A117">
        <v>448694757</v>
      </c>
      <c r="B117" t="s">
        <v>21</v>
      </c>
      <c r="C117">
        <v>-1.00087138927969E-3</v>
      </c>
      <c r="D117">
        <v>-4.4101854722251102E-2</v>
      </c>
      <c r="E117" s="1" t="s">
        <v>137</v>
      </c>
      <c r="F117">
        <v>17</v>
      </c>
      <c r="G117" t="str">
        <f>VLOOKUP(A117,[1]inrix_key!$A:$C,3,FALSE)</f>
        <v>Ustick_W</v>
      </c>
    </row>
    <row r="118" spans="1:7" hidden="1" x14ac:dyDescent="0.25">
      <c r="A118">
        <v>448694757</v>
      </c>
      <c r="B118" t="s">
        <v>25</v>
      </c>
      <c r="C118">
        <v>-1.9342776805238101E-2</v>
      </c>
      <c r="D118">
        <v>-1.59849388181567</v>
      </c>
      <c r="E118" s="1" t="s">
        <v>138</v>
      </c>
      <c r="F118">
        <v>38</v>
      </c>
      <c r="G118" t="str">
        <f>VLOOKUP(A118,[1]inrix_key!$A:$C,3,FALSE)</f>
        <v>Ustick_W</v>
      </c>
    </row>
    <row r="119" spans="1:7" hidden="1" x14ac:dyDescent="0.25">
      <c r="A119">
        <v>448695751</v>
      </c>
      <c r="B119" t="s">
        <v>6</v>
      </c>
      <c r="C119" s="1" t="s">
        <v>139</v>
      </c>
      <c r="D119" s="1" t="s">
        <v>140</v>
      </c>
      <c r="E119" s="1" t="s">
        <v>141</v>
      </c>
      <c r="F119">
        <v>20</v>
      </c>
      <c r="G119" t="str">
        <f>VLOOKUP(A119,[1]inrix_key!$A:$C,3,FALSE)</f>
        <v>Riverside_N</v>
      </c>
    </row>
    <row r="120" spans="1:7" hidden="1" x14ac:dyDescent="0.25">
      <c r="A120">
        <v>448695751</v>
      </c>
      <c r="B120" t="s">
        <v>7</v>
      </c>
      <c r="C120">
        <v>-1.9814814814814799E-2</v>
      </c>
      <c r="D120">
        <v>-1.1330684087692799</v>
      </c>
      <c r="E120" s="1" t="s">
        <v>142</v>
      </c>
      <c r="F120">
        <v>9</v>
      </c>
      <c r="G120" t="str">
        <f>VLOOKUP(A120,[1]inrix_key!$A:$C,3,FALSE)</f>
        <v>Riverside_N</v>
      </c>
    </row>
    <row r="121" spans="1:7" hidden="1" x14ac:dyDescent="0.25">
      <c r="A121">
        <v>448695751</v>
      </c>
      <c r="B121" t="s">
        <v>8</v>
      </c>
      <c r="C121">
        <v>-9.6874999999999999E-3</v>
      </c>
      <c r="D121">
        <v>-1.45558928186501</v>
      </c>
      <c r="E121" s="1" t="s">
        <v>143</v>
      </c>
      <c r="F121">
        <v>8</v>
      </c>
      <c r="G121" t="str">
        <f>VLOOKUP(A121,[1]inrix_key!$A:$C,3,FALSE)</f>
        <v>Riverside_N</v>
      </c>
    </row>
    <row r="122" spans="1:7" hidden="1" x14ac:dyDescent="0.25">
      <c r="A122">
        <v>448695751</v>
      </c>
      <c r="B122" t="s">
        <v>10</v>
      </c>
      <c r="C122">
        <v>9.2982456140350903E-3</v>
      </c>
      <c r="D122" s="1" t="s">
        <v>144</v>
      </c>
      <c r="E122" s="1" t="s">
        <v>145</v>
      </c>
      <c r="F122">
        <v>19</v>
      </c>
      <c r="G122" t="str">
        <f>VLOOKUP(A122,[1]inrix_key!$A:$C,3,FALSE)</f>
        <v>Riverside_N</v>
      </c>
    </row>
    <row r="123" spans="1:7" hidden="1" x14ac:dyDescent="0.25">
      <c r="A123">
        <v>448695751</v>
      </c>
      <c r="B123" t="s">
        <v>12</v>
      </c>
      <c r="C123">
        <v>-1.6250000000000001E-2</v>
      </c>
      <c r="D123">
        <v>-2.49306650355717</v>
      </c>
      <c r="E123" s="1" t="s">
        <v>146</v>
      </c>
      <c r="F123">
        <v>38</v>
      </c>
      <c r="G123" t="str">
        <f>VLOOKUP(A123,[1]inrix_key!$A:$C,3,FALSE)</f>
        <v>Riverside_N</v>
      </c>
    </row>
    <row r="124" spans="1:7" hidden="1" x14ac:dyDescent="0.25">
      <c r="A124">
        <v>448695751</v>
      </c>
      <c r="B124" t="s">
        <v>14</v>
      </c>
      <c r="C124">
        <v>5.1672794117647103E-3</v>
      </c>
      <c r="D124" s="1" t="s">
        <v>147</v>
      </c>
      <c r="E124" s="1" t="s">
        <v>148</v>
      </c>
      <c r="F124">
        <v>20</v>
      </c>
      <c r="G124" t="str">
        <f>VLOOKUP(A124,[1]inrix_key!$A:$C,3,FALSE)</f>
        <v>Riverside_N</v>
      </c>
    </row>
    <row r="125" spans="1:7" hidden="1" x14ac:dyDescent="0.25">
      <c r="A125">
        <v>448695751</v>
      </c>
      <c r="B125" t="s">
        <v>16</v>
      </c>
      <c r="C125">
        <v>-5.4490802407469001E-2</v>
      </c>
      <c r="D125">
        <v>-2.54973561357022</v>
      </c>
      <c r="E125">
        <v>3.4188730873263899E-2</v>
      </c>
      <c r="F125">
        <v>9</v>
      </c>
      <c r="G125" t="str">
        <f>VLOOKUP(A125,[1]inrix_key!$A:$C,3,FALSE)</f>
        <v>Riverside_N</v>
      </c>
    </row>
    <row r="126" spans="1:7" hidden="1" x14ac:dyDescent="0.25">
      <c r="A126">
        <v>448695751</v>
      </c>
      <c r="B126" t="s">
        <v>19</v>
      </c>
      <c r="C126">
        <v>-9.6047794117647099E-3</v>
      </c>
      <c r="D126">
        <v>-1.76651407970423</v>
      </c>
      <c r="E126" s="1" t="s">
        <v>149</v>
      </c>
      <c r="F126">
        <v>8</v>
      </c>
      <c r="G126" t="str">
        <f>VLOOKUP(A126,[1]inrix_key!$A:$C,3,FALSE)</f>
        <v>Riverside_N</v>
      </c>
    </row>
    <row r="127" spans="1:7" hidden="1" x14ac:dyDescent="0.25">
      <c r="A127">
        <v>448695751</v>
      </c>
      <c r="B127" t="s">
        <v>21</v>
      </c>
      <c r="C127">
        <v>-4.30620669320357E-3</v>
      </c>
      <c r="D127">
        <v>-0.61292402428292103</v>
      </c>
      <c r="E127" s="1" t="s">
        <v>150</v>
      </c>
      <c r="F127">
        <v>19</v>
      </c>
      <c r="G127" t="str">
        <f>VLOOKUP(A127,[1]inrix_key!$A:$C,3,FALSE)</f>
        <v>Riverside_N</v>
      </c>
    </row>
    <row r="128" spans="1:7" hidden="1" x14ac:dyDescent="0.25">
      <c r="A128">
        <v>448695751</v>
      </c>
      <c r="B128" t="s">
        <v>25</v>
      </c>
      <c r="C128">
        <v>-1.30022957563592E-2</v>
      </c>
      <c r="D128">
        <v>-2.8604761890382799</v>
      </c>
      <c r="E128">
        <v>6.9161829174293303E-3</v>
      </c>
      <c r="F128">
        <v>38</v>
      </c>
      <c r="G128" t="str">
        <f>VLOOKUP(A128,[1]inrix_key!$A:$C,3,FALSE)</f>
        <v>Riverside_N</v>
      </c>
    </row>
    <row r="129" spans="1:7" hidden="1" x14ac:dyDescent="0.25">
      <c r="A129">
        <v>448695752</v>
      </c>
      <c r="B129" t="s">
        <v>6</v>
      </c>
      <c r="C129">
        <v>3.2499999999999899E-3</v>
      </c>
      <c r="D129" s="1" t="s">
        <v>151</v>
      </c>
      <c r="E129" s="1" t="s">
        <v>152</v>
      </c>
      <c r="F129">
        <v>20</v>
      </c>
      <c r="G129" t="str">
        <f>VLOOKUP(A129,[1]inrix_key!$A:$C,3,FALSE)</f>
        <v>IslandWood_N</v>
      </c>
    </row>
    <row r="130" spans="1:7" hidden="1" x14ac:dyDescent="0.25">
      <c r="A130">
        <v>448695752</v>
      </c>
      <c r="B130" t="s">
        <v>7</v>
      </c>
      <c r="C130">
        <v>-0.13305555555555501</v>
      </c>
      <c r="D130">
        <v>-3.5204888863124602</v>
      </c>
      <c r="E130">
        <v>7.8402933714083901E-3</v>
      </c>
      <c r="F130">
        <v>9</v>
      </c>
      <c r="G130" t="str">
        <f>VLOOKUP(A130,[1]inrix_key!$A:$C,3,FALSE)</f>
        <v>IslandWood_N</v>
      </c>
    </row>
    <row r="131" spans="1:7" hidden="1" x14ac:dyDescent="0.25">
      <c r="A131">
        <v>448695752</v>
      </c>
      <c r="B131" t="s">
        <v>8</v>
      </c>
      <c r="C131">
        <v>-2.8750000000000001E-2</v>
      </c>
      <c r="D131">
        <v>-4.5106711081782302</v>
      </c>
      <c r="E131">
        <v>2.76280293770739E-3</v>
      </c>
      <c r="F131">
        <v>8</v>
      </c>
      <c r="G131" t="str">
        <f>VLOOKUP(A131,[1]inrix_key!$A:$C,3,FALSE)</f>
        <v>IslandWood_N</v>
      </c>
    </row>
    <row r="132" spans="1:7" hidden="1" x14ac:dyDescent="0.25">
      <c r="A132">
        <v>448695752</v>
      </c>
      <c r="B132" t="s">
        <v>10</v>
      </c>
      <c r="C132">
        <v>-4.1140350877192901E-2</v>
      </c>
      <c r="D132">
        <v>-1.87886473877018</v>
      </c>
      <c r="E132">
        <v>7.6556049436951906E-2</v>
      </c>
      <c r="F132">
        <v>19</v>
      </c>
      <c r="G132" t="str">
        <f>VLOOKUP(A132,[1]inrix_key!$A:$C,3,FALSE)</f>
        <v>IslandWood_N</v>
      </c>
    </row>
    <row r="133" spans="1:7" hidden="1" x14ac:dyDescent="0.25">
      <c r="A133">
        <v>448695752</v>
      </c>
      <c r="B133" t="s">
        <v>12</v>
      </c>
      <c r="C133">
        <v>-3.75877192982456E-2</v>
      </c>
      <c r="D133">
        <v>-4.4477397815367903</v>
      </c>
      <c r="E133" s="1" t="s">
        <v>153</v>
      </c>
      <c r="F133">
        <v>38</v>
      </c>
      <c r="G133" t="str">
        <f>VLOOKUP(A133,[1]inrix_key!$A:$C,3,FALSE)</f>
        <v>IslandWood_N</v>
      </c>
    </row>
    <row r="134" spans="1:7" hidden="1" x14ac:dyDescent="0.25">
      <c r="A134">
        <v>448695752</v>
      </c>
      <c r="B134" t="s">
        <v>14</v>
      </c>
      <c r="C134">
        <v>4.3897058823529397E-3</v>
      </c>
      <c r="D134">
        <v>0.73714160574870202</v>
      </c>
      <c r="E134" s="1" t="s">
        <v>154</v>
      </c>
      <c r="F134">
        <v>20</v>
      </c>
      <c r="G134" t="str">
        <f>VLOOKUP(A134,[1]inrix_key!$A:$C,3,FALSE)</f>
        <v>IslandWood_N</v>
      </c>
    </row>
    <row r="135" spans="1:7" hidden="1" x14ac:dyDescent="0.25">
      <c r="A135">
        <v>448695752</v>
      </c>
      <c r="B135" t="s">
        <v>16</v>
      </c>
      <c r="C135">
        <v>-0.117779279362612</v>
      </c>
      <c r="D135">
        <v>-4.5094520938359999</v>
      </c>
      <c r="E135">
        <v>1.97724294479456E-3</v>
      </c>
      <c r="F135">
        <v>9</v>
      </c>
      <c r="G135" t="str">
        <f>VLOOKUP(A135,[1]inrix_key!$A:$C,3,FALSE)</f>
        <v>IslandWood_N</v>
      </c>
    </row>
    <row r="136" spans="1:7" hidden="1" x14ac:dyDescent="0.25">
      <c r="A136">
        <v>448695752</v>
      </c>
      <c r="B136" t="s">
        <v>19</v>
      </c>
      <c r="C136">
        <v>-4.1070772058823403E-2</v>
      </c>
      <c r="D136">
        <v>-2.78680419579057</v>
      </c>
      <c r="E136" s="1" t="s">
        <v>155</v>
      </c>
      <c r="F136">
        <v>8</v>
      </c>
      <c r="G136" t="str">
        <f>VLOOKUP(A136,[1]inrix_key!$A:$C,3,FALSE)</f>
        <v>IslandWood_N</v>
      </c>
    </row>
    <row r="137" spans="1:7" hidden="1" x14ac:dyDescent="0.25">
      <c r="A137">
        <v>448695752</v>
      </c>
      <c r="B137" t="s">
        <v>21</v>
      </c>
      <c r="C137">
        <v>-1.45451066391468E-2</v>
      </c>
      <c r="D137">
        <v>-1.5153052352280001</v>
      </c>
      <c r="E137" s="1" t="s">
        <v>156</v>
      </c>
      <c r="F137">
        <v>19</v>
      </c>
      <c r="G137" t="str">
        <f>VLOOKUP(A137,[1]inrix_key!$A:$C,3,FALSE)</f>
        <v>IslandWood_N</v>
      </c>
    </row>
    <row r="138" spans="1:7" hidden="1" x14ac:dyDescent="0.25">
      <c r="A138">
        <v>448695752</v>
      </c>
      <c r="B138" t="s">
        <v>25</v>
      </c>
      <c r="C138">
        <v>-3.2077675334641197E-2</v>
      </c>
      <c r="D138">
        <v>-6.6004836788837702</v>
      </c>
      <c r="E138" s="1" t="s">
        <v>157</v>
      </c>
      <c r="F138">
        <v>38</v>
      </c>
      <c r="G138" t="str">
        <f>VLOOKUP(A138,[1]inrix_key!$A:$C,3,FALSE)</f>
        <v>IslandWood_N</v>
      </c>
    </row>
    <row r="139" spans="1:7" hidden="1" x14ac:dyDescent="0.25">
      <c r="A139">
        <v>448695753</v>
      </c>
      <c r="B139" t="s">
        <v>6</v>
      </c>
      <c r="C139" s="1" t="s">
        <v>158</v>
      </c>
      <c r="D139" s="1" t="s">
        <v>159</v>
      </c>
      <c r="E139" s="1" t="s">
        <v>160</v>
      </c>
      <c r="F139">
        <v>20</v>
      </c>
      <c r="G139" t="str">
        <f>VLOOKUP(A139,[1]inrix_key!$A:$C,3,FALSE)</f>
        <v>Riverside_S</v>
      </c>
    </row>
    <row r="140" spans="1:7" hidden="1" x14ac:dyDescent="0.25">
      <c r="A140">
        <v>448695753</v>
      </c>
      <c r="B140" t="s">
        <v>7</v>
      </c>
      <c r="C140">
        <v>-2.8124999999999799E-3</v>
      </c>
      <c r="D140">
        <v>-0.19939449130292899</v>
      </c>
      <c r="E140" s="1" t="s">
        <v>161</v>
      </c>
      <c r="F140">
        <v>8</v>
      </c>
      <c r="G140" t="str">
        <f>VLOOKUP(A140,[1]inrix_key!$A:$C,3,FALSE)</f>
        <v>Riverside_S</v>
      </c>
    </row>
    <row r="141" spans="1:7" hidden="1" x14ac:dyDescent="0.25">
      <c r="A141">
        <v>448695753</v>
      </c>
      <c r="B141" t="s">
        <v>8</v>
      </c>
      <c r="C141" s="1" t="s">
        <v>162</v>
      </c>
      <c r="D141" s="1" t="s">
        <v>163</v>
      </c>
      <c r="E141">
        <v>3.33727242276897E-2</v>
      </c>
      <c r="F141">
        <v>8</v>
      </c>
      <c r="G141" t="str">
        <f>VLOOKUP(A141,[1]inrix_key!$A:$C,3,FALSE)</f>
        <v>Riverside_S</v>
      </c>
    </row>
    <row r="142" spans="1:7" hidden="1" x14ac:dyDescent="0.25">
      <c r="A142">
        <v>448695753</v>
      </c>
      <c r="B142" t="s">
        <v>10</v>
      </c>
      <c r="C142">
        <v>-7.6862745098039198E-2</v>
      </c>
      <c r="D142">
        <v>-4.8567882438392802</v>
      </c>
      <c r="E142">
        <v>1.7489293818774199E-4</v>
      </c>
      <c r="F142">
        <v>17</v>
      </c>
      <c r="G142" t="str">
        <f>VLOOKUP(A142,[1]inrix_key!$A:$C,3,FALSE)</f>
        <v>Riverside_S</v>
      </c>
    </row>
    <row r="143" spans="1:7" hidden="1" x14ac:dyDescent="0.25">
      <c r="A143">
        <v>448695753</v>
      </c>
      <c r="B143" t="s">
        <v>12</v>
      </c>
      <c r="C143">
        <v>-4.7894736842105101E-3</v>
      </c>
      <c r="D143">
        <v>-0.44177729279843297</v>
      </c>
      <c r="E143" s="1" t="s">
        <v>164</v>
      </c>
      <c r="F143">
        <v>38</v>
      </c>
      <c r="G143" t="str">
        <f>VLOOKUP(A143,[1]inrix_key!$A:$C,3,FALSE)</f>
        <v>Riverside_S</v>
      </c>
    </row>
    <row r="144" spans="1:7" hidden="1" x14ac:dyDescent="0.25">
      <c r="A144">
        <v>448695753</v>
      </c>
      <c r="B144" t="s">
        <v>14</v>
      </c>
      <c r="C144">
        <v>-1.7738970588235001E-3</v>
      </c>
      <c r="D144">
        <v>-0.103640446683995</v>
      </c>
      <c r="E144" s="1" t="s">
        <v>165</v>
      </c>
      <c r="F144">
        <v>20</v>
      </c>
      <c r="G144" t="str">
        <f>VLOOKUP(A144,[1]inrix_key!$A:$C,3,FALSE)</f>
        <v>Riverside_S</v>
      </c>
    </row>
    <row r="145" spans="1:7" hidden="1" x14ac:dyDescent="0.25">
      <c r="A145">
        <v>448695753</v>
      </c>
      <c r="B145" t="s">
        <v>16</v>
      </c>
      <c r="C145">
        <v>-7.6543567543567503E-2</v>
      </c>
      <c r="D145">
        <v>-3.1567124827914901</v>
      </c>
      <c r="E145" s="1" t="s">
        <v>166</v>
      </c>
      <c r="F145">
        <v>9</v>
      </c>
      <c r="G145" t="str">
        <f>VLOOKUP(A145,[1]inrix_key!$A:$C,3,FALSE)</f>
        <v>Riverside_S</v>
      </c>
    </row>
    <row r="146" spans="1:7" hidden="1" x14ac:dyDescent="0.25">
      <c r="A146">
        <v>448695753</v>
      </c>
      <c r="B146" t="s">
        <v>19</v>
      </c>
      <c r="C146">
        <v>-3.88327205882352E-3</v>
      </c>
      <c r="D146">
        <v>-0.22832833056691701</v>
      </c>
      <c r="E146" s="1" t="s">
        <v>167</v>
      </c>
      <c r="F146">
        <v>8</v>
      </c>
      <c r="G146" t="str">
        <f>VLOOKUP(A146,[1]inrix_key!$A:$C,3,FALSE)</f>
        <v>Riverside_S</v>
      </c>
    </row>
    <row r="147" spans="1:7" hidden="1" x14ac:dyDescent="0.25">
      <c r="A147">
        <v>448695753</v>
      </c>
      <c r="B147" t="s">
        <v>21</v>
      </c>
      <c r="C147">
        <v>-4.05908339617898E-2</v>
      </c>
      <c r="D147">
        <v>-3.8125437485798401</v>
      </c>
      <c r="E147">
        <v>1.17562553488997E-3</v>
      </c>
      <c r="F147">
        <v>20</v>
      </c>
      <c r="G147" t="str">
        <f>VLOOKUP(A147,[1]inrix_key!$A:$C,3,FALSE)</f>
        <v>Riverside_S</v>
      </c>
    </row>
    <row r="148" spans="1:7" hidden="1" x14ac:dyDescent="0.25">
      <c r="A148">
        <v>448695753</v>
      </c>
      <c r="B148" t="s">
        <v>25</v>
      </c>
      <c r="C148">
        <v>-3.5011048677844299E-3</v>
      </c>
      <c r="D148">
        <v>-0.395010435985931</v>
      </c>
      <c r="E148" s="1" t="s">
        <v>168</v>
      </c>
      <c r="F148">
        <v>38</v>
      </c>
      <c r="G148" t="str">
        <f>VLOOKUP(A148,[1]inrix_key!$A:$C,3,FALSE)</f>
        <v>Riverside_S</v>
      </c>
    </row>
    <row r="149" spans="1:7" hidden="1" x14ac:dyDescent="0.25">
      <c r="A149">
        <v>448695754</v>
      </c>
      <c r="B149" t="s">
        <v>6</v>
      </c>
      <c r="C149">
        <v>6.0000000000000201E-3</v>
      </c>
      <c r="D149">
        <v>0.46689463303693901</v>
      </c>
      <c r="E149" s="1" t="s">
        <v>169</v>
      </c>
      <c r="F149">
        <v>20</v>
      </c>
      <c r="G149" t="str">
        <f>VLOOKUP(A149,[1]inrix_key!$A:$C,3,FALSE)</f>
        <v>State_S</v>
      </c>
    </row>
    <row r="150" spans="1:7" hidden="1" x14ac:dyDescent="0.25">
      <c r="A150">
        <v>448695754</v>
      </c>
      <c r="B150" t="s">
        <v>7</v>
      </c>
      <c r="C150">
        <v>3.9895833333333297E-2</v>
      </c>
      <c r="D150" s="1" t="s">
        <v>170</v>
      </c>
      <c r="E150">
        <v>6.9154621381700296E-2</v>
      </c>
      <c r="F150">
        <v>8</v>
      </c>
      <c r="G150" t="str">
        <f>VLOOKUP(A150,[1]inrix_key!$A:$C,3,FALSE)</f>
        <v>State_S</v>
      </c>
    </row>
    <row r="151" spans="1:7" hidden="1" x14ac:dyDescent="0.25">
      <c r="A151">
        <v>448695754</v>
      </c>
      <c r="B151" t="s">
        <v>8</v>
      </c>
      <c r="C151" s="1" t="s">
        <v>171</v>
      </c>
      <c r="D151" s="1" t="s">
        <v>172</v>
      </c>
      <c r="E151" s="1" t="s">
        <v>173</v>
      </c>
      <c r="F151">
        <v>8</v>
      </c>
      <c r="G151" t="str">
        <f>VLOOKUP(A151,[1]inrix_key!$A:$C,3,FALSE)</f>
        <v>State_S</v>
      </c>
    </row>
    <row r="152" spans="1:7" hidden="1" x14ac:dyDescent="0.25">
      <c r="A152">
        <v>448695754</v>
      </c>
      <c r="B152" t="s">
        <v>10</v>
      </c>
      <c r="C152">
        <v>-4.4215686274509801E-2</v>
      </c>
      <c r="D152">
        <v>-2.8708067863473601</v>
      </c>
      <c r="E152" s="1" t="s">
        <v>174</v>
      </c>
      <c r="F152">
        <v>17</v>
      </c>
      <c r="G152" t="str">
        <f>VLOOKUP(A152,[1]inrix_key!$A:$C,3,FALSE)</f>
        <v>State_S</v>
      </c>
    </row>
    <row r="153" spans="1:7" hidden="1" x14ac:dyDescent="0.25">
      <c r="A153">
        <v>448695754</v>
      </c>
      <c r="B153" t="s">
        <v>12</v>
      </c>
      <c r="C153" s="1" t="s">
        <v>175</v>
      </c>
      <c r="D153">
        <v>1.98305909621599</v>
      </c>
      <c r="E153" s="1" t="s">
        <v>176</v>
      </c>
      <c r="F153">
        <v>38</v>
      </c>
      <c r="G153" t="str">
        <f>VLOOKUP(A153,[1]inrix_key!$A:$C,3,FALSE)</f>
        <v>State_S</v>
      </c>
    </row>
    <row r="154" spans="1:7" hidden="1" x14ac:dyDescent="0.25">
      <c r="A154">
        <v>448695754</v>
      </c>
      <c r="B154" t="s">
        <v>14</v>
      </c>
      <c r="C154">
        <v>-2.7512867647058799E-2</v>
      </c>
      <c r="D154">
        <v>-2.0968508652508402</v>
      </c>
      <c r="E154">
        <v>4.9622836654167099E-2</v>
      </c>
      <c r="F154">
        <v>20</v>
      </c>
      <c r="G154" t="str">
        <f>VLOOKUP(A154,[1]inrix_key!$A:$C,3,FALSE)</f>
        <v>State_S</v>
      </c>
    </row>
    <row r="155" spans="1:7" hidden="1" x14ac:dyDescent="0.25">
      <c r="A155">
        <v>448695754</v>
      </c>
      <c r="B155" t="s">
        <v>16</v>
      </c>
      <c r="C155" s="1" t="s">
        <v>177</v>
      </c>
      <c r="D155" s="1" t="s">
        <v>178</v>
      </c>
      <c r="E155" s="1" t="s">
        <v>179</v>
      </c>
      <c r="F155">
        <v>9</v>
      </c>
      <c r="G155" t="str">
        <f>VLOOKUP(A155,[1]inrix_key!$A:$C,3,FALSE)</f>
        <v>State_S</v>
      </c>
    </row>
    <row r="156" spans="1:7" hidden="1" x14ac:dyDescent="0.25">
      <c r="A156">
        <v>448695754</v>
      </c>
      <c r="B156" t="s">
        <v>19</v>
      </c>
      <c r="C156">
        <v>-2.2169117647058801E-2</v>
      </c>
      <c r="D156">
        <v>-3.0245192620242398</v>
      </c>
      <c r="E156" s="1" t="s">
        <v>180</v>
      </c>
      <c r="F156">
        <v>8</v>
      </c>
      <c r="G156" t="str">
        <f>VLOOKUP(A156,[1]inrix_key!$A:$C,3,FALSE)</f>
        <v>State_S</v>
      </c>
    </row>
    <row r="157" spans="1:7" hidden="1" x14ac:dyDescent="0.25">
      <c r="A157">
        <v>448695754</v>
      </c>
      <c r="B157" t="s">
        <v>21</v>
      </c>
      <c r="C157">
        <v>8.5245385333620506E-3</v>
      </c>
      <c r="D157" s="1" t="s">
        <v>181</v>
      </c>
      <c r="E157" s="1" t="s">
        <v>182</v>
      </c>
      <c r="F157">
        <v>20</v>
      </c>
      <c r="G157" t="str">
        <f>VLOOKUP(A157,[1]inrix_key!$A:$C,3,FALSE)</f>
        <v>State_S</v>
      </c>
    </row>
    <row r="158" spans="1:7" hidden="1" x14ac:dyDescent="0.25">
      <c r="A158">
        <v>448695754</v>
      </c>
      <c r="B158" t="s">
        <v>25</v>
      </c>
      <c r="C158">
        <v>1.1318866827187199E-2</v>
      </c>
      <c r="D158" s="1" t="s">
        <v>183</v>
      </c>
      <c r="E158">
        <v>4.1171032336751803E-2</v>
      </c>
      <c r="F158">
        <v>38</v>
      </c>
      <c r="G158" t="str">
        <f>VLOOKUP(A158,[1]inrix_key!$A:$C,3,FALSE)</f>
        <v>State_S</v>
      </c>
    </row>
    <row r="159" spans="1:7" hidden="1" x14ac:dyDescent="0.25">
      <c r="A159">
        <v>448697006</v>
      </c>
      <c r="B159" t="s">
        <v>6</v>
      </c>
      <c r="C159">
        <v>-4.0625000000000001E-2</v>
      </c>
      <c r="D159">
        <v>-2.2620861209248</v>
      </c>
      <c r="E159" s="1" t="s">
        <v>184</v>
      </c>
      <c r="F159">
        <v>20</v>
      </c>
      <c r="G159" t="str">
        <f>VLOOKUP(A159,[1]inrix_key!$A:$C,3,FALSE)</f>
        <v>StLukes_N</v>
      </c>
    </row>
    <row r="160" spans="1:7" hidden="1" x14ac:dyDescent="0.25">
      <c r="A160">
        <v>448697006</v>
      </c>
      <c r="B160" t="s">
        <v>7</v>
      </c>
      <c r="C160">
        <v>6.6666666666666697E-3</v>
      </c>
      <c r="D160" s="1" t="s">
        <v>185</v>
      </c>
      <c r="E160">
        <v>0.83911880345157197</v>
      </c>
      <c r="F160">
        <v>6</v>
      </c>
      <c r="G160" t="str">
        <f>VLOOKUP(A160,[1]inrix_key!$A:$C,3,FALSE)</f>
        <v>StLukes_N</v>
      </c>
    </row>
    <row r="161" spans="1:7" hidden="1" x14ac:dyDescent="0.25">
      <c r="A161">
        <v>448697006</v>
      </c>
      <c r="B161" t="s">
        <v>8</v>
      </c>
      <c r="C161" s="1" t="s">
        <v>186</v>
      </c>
      <c r="D161" s="1" t="s">
        <v>187</v>
      </c>
      <c r="E161" s="1" t="s">
        <v>188</v>
      </c>
      <c r="F161">
        <v>8</v>
      </c>
      <c r="G161" t="str">
        <f>VLOOKUP(A161,[1]inrix_key!$A:$C,3,FALSE)</f>
        <v>StLukes_N</v>
      </c>
    </row>
    <row r="162" spans="1:7" hidden="1" x14ac:dyDescent="0.25">
      <c r="A162">
        <v>448697006</v>
      </c>
      <c r="B162" t="s">
        <v>10</v>
      </c>
      <c r="C162">
        <v>-3.2280701754385903E-2</v>
      </c>
      <c r="D162">
        <v>-3.7190220123994702</v>
      </c>
      <c r="E162">
        <v>1.57068225705798E-3</v>
      </c>
      <c r="F162">
        <v>19</v>
      </c>
      <c r="G162" t="str">
        <f>VLOOKUP(A162,[1]inrix_key!$A:$C,3,FALSE)</f>
        <v>StLukes_N</v>
      </c>
    </row>
    <row r="163" spans="1:7" hidden="1" x14ac:dyDescent="0.25">
      <c r="A163">
        <v>448697006</v>
      </c>
      <c r="B163" t="s">
        <v>12</v>
      </c>
      <c r="C163">
        <v>-9.2982456140350805E-2</v>
      </c>
      <c r="D163">
        <v>-4.3557052509098302</v>
      </c>
      <c r="E163">
        <v>1.01037057391851E-4</v>
      </c>
      <c r="F163">
        <v>38</v>
      </c>
      <c r="G163" t="str">
        <f>VLOOKUP(A163,[1]inrix_key!$A:$C,3,FALSE)</f>
        <v>StLukes_N</v>
      </c>
    </row>
    <row r="164" spans="1:7" hidden="1" x14ac:dyDescent="0.25">
      <c r="A164">
        <v>448697006</v>
      </c>
      <c r="B164" t="s">
        <v>14</v>
      </c>
      <c r="C164">
        <v>-4.1338235294117599E-2</v>
      </c>
      <c r="D164">
        <v>-3.5975504407728498</v>
      </c>
      <c r="E164">
        <v>1.9191124136415799E-3</v>
      </c>
      <c r="F164">
        <v>20</v>
      </c>
      <c r="G164" t="str">
        <f>VLOOKUP(A164,[1]inrix_key!$A:$C,3,FALSE)</f>
        <v>StLukes_N</v>
      </c>
    </row>
    <row r="165" spans="1:7" hidden="1" x14ac:dyDescent="0.25">
      <c r="A165">
        <v>448697006</v>
      </c>
      <c r="B165" t="s">
        <v>16</v>
      </c>
      <c r="C165">
        <v>-2.7426190476190399E-2</v>
      </c>
      <c r="D165">
        <v>-2.90944696585052</v>
      </c>
      <c r="E165" s="1" t="s">
        <v>189</v>
      </c>
      <c r="F165">
        <v>10</v>
      </c>
      <c r="G165" t="str">
        <f>VLOOKUP(A165,[1]inrix_key!$A:$C,3,FALSE)</f>
        <v>StLukes_N</v>
      </c>
    </row>
    <row r="166" spans="1:7" hidden="1" x14ac:dyDescent="0.25">
      <c r="A166">
        <v>448697006</v>
      </c>
      <c r="B166" t="s">
        <v>19</v>
      </c>
      <c r="C166" s="1" t="s">
        <v>190</v>
      </c>
      <c r="D166" s="1" t="s">
        <v>191</v>
      </c>
      <c r="E166" s="1" t="s">
        <v>192</v>
      </c>
      <c r="F166">
        <v>8</v>
      </c>
      <c r="G166" t="str">
        <f>VLOOKUP(A166,[1]inrix_key!$A:$C,3,FALSE)</f>
        <v>StLukes_N</v>
      </c>
    </row>
    <row r="167" spans="1:7" hidden="1" x14ac:dyDescent="0.25">
      <c r="A167">
        <v>448697006</v>
      </c>
      <c r="B167" t="s">
        <v>21</v>
      </c>
      <c r="C167">
        <v>-3.4538357843137198E-2</v>
      </c>
      <c r="D167">
        <v>-2.95398897097862</v>
      </c>
      <c r="E167">
        <v>8.1498416223850199E-3</v>
      </c>
      <c r="F167">
        <v>20</v>
      </c>
      <c r="G167" t="str">
        <f>VLOOKUP(A167,[1]inrix_key!$A:$C,3,FALSE)</f>
        <v>StLukes_N</v>
      </c>
    </row>
    <row r="168" spans="1:7" hidden="1" x14ac:dyDescent="0.25">
      <c r="A168">
        <v>448697006</v>
      </c>
      <c r="B168" t="s">
        <v>25</v>
      </c>
      <c r="C168">
        <v>-5.1758749957472802E-2</v>
      </c>
      <c r="D168">
        <v>-3.6287375255723502</v>
      </c>
      <c r="E168">
        <v>8.55180588541004E-4</v>
      </c>
      <c r="F168">
        <v>38</v>
      </c>
      <c r="G168" t="str">
        <f>VLOOKUP(A168,[1]inrix_key!$A:$C,3,FALSE)</f>
        <v>StLukes_N</v>
      </c>
    </row>
    <row r="169" spans="1:7" hidden="1" x14ac:dyDescent="0.25">
      <c r="A169">
        <v>448697007</v>
      </c>
      <c r="B169" t="s">
        <v>6</v>
      </c>
      <c r="C169">
        <v>-2.375E-2</v>
      </c>
      <c r="D169">
        <v>-1.44419180140768</v>
      </c>
      <c r="E169" s="1" t="s">
        <v>193</v>
      </c>
      <c r="F169">
        <v>20</v>
      </c>
      <c r="G169" t="str">
        <f>VLOOKUP(A169,[1]inrix_key!$A:$C,3,FALSE)</f>
        <v>WB_N</v>
      </c>
    </row>
    <row r="170" spans="1:7" hidden="1" x14ac:dyDescent="0.25">
      <c r="A170">
        <v>448697007</v>
      </c>
      <c r="B170" t="s">
        <v>7</v>
      </c>
      <c r="C170">
        <v>-3.3333333333333298E-2</v>
      </c>
      <c r="D170">
        <v>-0.62240697388514499</v>
      </c>
      <c r="E170" s="1" t="s">
        <v>194</v>
      </c>
      <c r="F170">
        <v>6</v>
      </c>
      <c r="G170" t="str">
        <f>VLOOKUP(A170,[1]inrix_key!$A:$C,3,FALSE)</f>
        <v>WB_N</v>
      </c>
    </row>
    <row r="171" spans="1:7" hidden="1" x14ac:dyDescent="0.25">
      <c r="A171">
        <v>448697007</v>
      </c>
      <c r="B171" t="s">
        <v>8</v>
      </c>
      <c r="C171">
        <v>0.1221875</v>
      </c>
      <c r="D171" s="1" t="s">
        <v>195</v>
      </c>
      <c r="E171">
        <v>5.0307942809920597E-2</v>
      </c>
      <c r="F171">
        <v>8</v>
      </c>
      <c r="G171" t="str">
        <f>VLOOKUP(A171,[1]inrix_key!$A:$C,3,FALSE)</f>
        <v>WB_N</v>
      </c>
    </row>
    <row r="172" spans="1:7" hidden="1" x14ac:dyDescent="0.25">
      <c r="A172">
        <v>448697007</v>
      </c>
      <c r="B172" t="s">
        <v>10</v>
      </c>
      <c r="C172">
        <v>-3.1096491228070101E-2</v>
      </c>
      <c r="D172">
        <v>-2.5905892660889598</v>
      </c>
      <c r="E172" s="1" t="s">
        <v>196</v>
      </c>
      <c r="F172">
        <v>19</v>
      </c>
      <c r="G172" t="str">
        <f>VLOOKUP(A172,[1]inrix_key!$A:$C,3,FALSE)</f>
        <v>WB_N</v>
      </c>
    </row>
    <row r="173" spans="1:7" hidden="1" x14ac:dyDescent="0.25">
      <c r="A173">
        <v>448697007</v>
      </c>
      <c r="B173" t="s">
        <v>12</v>
      </c>
      <c r="C173">
        <v>-4.1763157894736801E-2</v>
      </c>
      <c r="D173">
        <v>-3.21025892460294</v>
      </c>
      <c r="E173">
        <v>2.7416003680432802E-3</v>
      </c>
      <c r="F173">
        <v>38</v>
      </c>
      <c r="G173" t="str">
        <f>VLOOKUP(A173,[1]inrix_key!$A:$C,3,FALSE)</f>
        <v>WB_N</v>
      </c>
    </row>
    <row r="174" spans="1:7" hidden="1" x14ac:dyDescent="0.25">
      <c r="A174">
        <v>448697007</v>
      </c>
      <c r="B174" t="s">
        <v>14</v>
      </c>
      <c r="C174">
        <v>-2.0207720588235199E-2</v>
      </c>
      <c r="D174">
        <v>-1.6530835419385099</v>
      </c>
      <c r="E174" s="1" t="s">
        <v>197</v>
      </c>
      <c r="F174">
        <v>20</v>
      </c>
      <c r="G174" t="str">
        <f>VLOOKUP(A174,[1]inrix_key!$A:$C,3,FALSE)</f>
        <v>WB_N</v>
      </c>
    </row>
    <row r="175" spans="1:7" hidden="1" x14ac:dyDescent="0.25">
      <c r="A175">
        <v>448697007</v>
      </c>
      <c r="B175" t="s">
        <v>16</v>
      </c>
      <c r="C175">
        <v>-4.4525595238095197E-2</v>
      </c>
      <c r="D175">
        <v>-4.7995081977697396</v>
      </c>
      <c r="E175">
        <v>9.7438770809170697E-4</v>
      </c>
      <c r="F175">
        <v>10</v>
      </c>
      <c r="G175" t="str">
        <f>VLOOKUP(A175,[1]inrix_key!$A:$C,3,FALSE)</f>
        <v>WB_N</v>
      </c>
    </row>
    <row r="176" spans="1:7" hidden="1" x14ac:dyDescent="0.25">
      <c r="A176">
        <v>448697007</v>
      </c>
      <c r="B176" t="s">
        <v>19</v>
      </c>
      <c r="C176">
        <v>6.24448529411765E-2</v>
      </c>
      <c r="D176" s="1" t="s">
        <v>198</v>
      </c>
      <c r="E176">
        <v>3.3356963885746098E-2</v>
      </c>
      <c r="F176">
        <v>8</v>
      </c>
      <c r="G176" t="str">
        <f>VLOOKUP(A176,[1]inrix_key!$A:$C,3,FALSE)</f>
        <v>WB_N</v>
      </c>
    </row>
    <row r="177" spans="1:7" hidden="1" x14ac:dyDescent="0.25">
      <c r="A177">
        <v>448697007</v>
      </c>
      <c r="B177" t="s">
        <v>21</v>
      </c>
      <c r="C177">
        <v>-2.6993259803921501E-2</v>
      </c>
      <c r="D177">
        <v>-2.9578773132146701</v>
      </c>
      <c r="E177">
        <v>8.0802029599688092E-3</v>
      </c>
      <c r="F177">
        <v>20</v>
      </c>
      <c r="G177" t="str">
        <f>VLOOKUP(A177,[1]inrix_key!$A:$C,3,FALSE)</f>
        <v>WB_N</v>
      </c>
    </row>
    <row r="178" spans="1:7" hidden="1" x14ac:dyDescent="0.25">
      <c r="A178">
        <v>448697007</v>
      </c>
      <c r="B178" t="s">
        <v>25</v>
      </c>
      <c r="C178">
        <v>-1.5113042787965301E-2</v>
      </c>
      <c r="D178">
        <v>-2.0660917136441501</v>
      </c>
      <c r="E178">
        <v>4.5874253362073202E-2</v>
      </c>
      <c r="F178">
        <v>38</v>
      </c>
      <c r="G178" t="str">
        <f>VLOOKUP(A178,[1]inrix_key!$A:$C,3,FALSE)</f>
        <v>WB_N</v>
      </c>
    </row>
    <row r="179" spans="1:7" hidden="1" x14ac:dyDescent="0.25">
      <c r="A179">
        <v>448697008</v>
      </c>
      <c r="B179" t="s">
        <v>6</v>
      </c>
      <c r="C179">
        <v>-0.14124999999999999</v>
      </c>
      <c r="D179">
        <v>-4.0414974173899196</v>
      </c>
      <c r="E179">
        <v>6.9690318302195796E-4</v>
      </c>
      <c r="F179">
        <v>20</v>
      </c>
      <c r="G179" t="str">
        <f>VLOOKUP(A179,[1]inrix_key!$A:$C,3,FALSE)</f>
        <v>RiverValley_S</v>
      </c>
    </row>
    <row r="180" spans="1:7" hidden="1" x14ac:dyDescent="0.25">
      <c r="A180">
        <v>448697008</v>
      </c>
      <c r="B180" t="s">
        <v>7</v>
      </c>
      <c r="C180" s="1" t="s">
        <v>199</v>
      </c>
      <c r="D180" s="1" t="s">
        <v>200</v>
      </c>
      <c r="E180" s="1" t="s">
        <v>201</v>
      </c>
      <c r="F180">
        <v>8</v>
      </c>
      <c r="G180" t="str">
        <f>VLOOKUP(A180,[1]inrix_key!$A:$C,3,FALSE)</f>
        <v>RiverValley_S</v>
      </c>
    </row>
    <row r="181" spans="1:7" hidden="1" x14ac:dyDescent="0.25">
      <c r="A181">
        <v>448697008</v>
      </c>
      <c r="B181" t="s">
        <v>8</v>
      </c>
      <c r="C181">
        <v>-0.32406249999999998</v>
      </c>
      <c r="D181">
        <v>-7.1589268179761998</v>
      </c>
      <c r="E181">
        <v>1.83920346059088E-4</v>
      </c>
      <c r="F181">
        <v>8</v>
      </c>
      <c r="G181" t="str">
        <f>VLOOKUP(A181,[1]inrix_key!$A:$C,3,FALSE)</f>
        <v>RiverValley_S</v>
      </c>
    </row>
    <row r="182" spans="1:7" hidden="1" x14ac:dyDescent="0.25">
      <c r="A182">
        <v>448697008</v>
      </c>
      <c r="B182" t="s">
        <v>10</v>
      </c>
      <c r="C182">
        <v>-7.6315789473684397E-3</v>
      </c>
      <c r="D182">
        <v>-0.58532613090919405</v>
      </c>
      <c r="E182" s="1" t="s">
        <v>202</v>
      </c>
      <c r="F182">
        <v>19</v>
      </c>
      <c r="G182" t="str">
        <f>VLOOKUP(A182,[1]inrix_key!$A:$C,3,FALSE)</f>
        <v>RiverValley_S</v>
      </c>
    </row>
    <row r="183" spans="1:7" hidden="1" x14ac:dyDescent="0.25">
      <c r="A183">
        <v>448697008</v>
      </c>
      <c r="B183" t="s">
        <v>12</v>
      </c>
      <c r="C183">
        <v>-8.6368421052631497E-2</v>
      </c>
      <c r="D183">
        <v>-4.8546172864188204</v>
      </c>
      <c r="E183" s="1" t="s">
        <v>203</v>
      </c>
      <c r="F183">
        <v>38</v>
      </c>
      <c r="G183" t="str">
        <f>VLOOKUP(A183,[1]inrix_key!$A:$C,3,FALSE)</f>
        <v>RiverValley_S</v>
      </c>
    </row>
    <row r="184" spans="1:7" hidden="1" x14ac:dyDescent="0.25">
      <c r="A184">
        <v>448697008</v>
      </c>
      <c r="B184" t="s">
        <v>14</v>
      </c>
      <c r="C184">
        <v>-0.117393382352941</v>
      </c>
      <c r="D184">
        <v>-7.5819236955198299</v>
      </c>
      <c r="E184" s="1" t="s">
        <v>204</v>
      </c>
      <c r="F184">
        <v>20</v>
      </c>
      <c r="G184" t="str">
        <f>VLOOKUP(A184,[1]inrix_key!$A:$C,3,FALSE)</f>
        <v>RiverValley_S</v>
      </c>
    </row>
    <row r="185" spans="1:7" hidden="1" x14ac:dyDescent="0.25">
      <c r="A185">
        <v>448697008</v>
      </c>
      <c r="B185" t="s">
        <v>16</v>
      </c>
      <c r="C185">
        <v>1.77228729603729E-2</v>
      </c>
      <c r="D185" s="1" t="s">
        <v>205</v>
      </c>
      <c r="E185" s="1" t="s">
        <v>206</v>
      </c>
      <c r="F185">
        <v>10</v>
      </c>
      <c r="G185" t="str">
        <f>VLOOKUP(A185,[1]inrix_key!$A:$C,3,FALSE)</f>
        <v>RiverValley_S</v>
      </c>
    </row>
    <row r="186" spans="1:7" hidden="1" x14ac:dyDescent="0.25">
      <c r="A186">
        <v>448697008</v>
      </c>
      <c r="B186" t="s">
        <v>19</v>
      </c>
      <c r="C186">
        <v>-0.26733455882352902</v>
      </c>
      <c r="D186">
        <v>-21.401262809993</v>
      </c>
      <c r="E186" s="1" t="s">
        <v>207</v>
      </c>
      <c r="F186">
        <v>8</v>
      </c>
      <c r="G186" t="str">
        <f>VLOOKUP(A186,[1]inrix_key!$A:$C,3,FALSE)</f>
        <v>RiverValley_S</v>
      </c>
    </row>
    <row r="187" spans="1:7" hidden="1" x14ac:dyDescent="0.25">
      <c r="A187">
        <v>448697008</v>
      </c>
      <c r="B187" t="s">
        <v>21</v>
      </c>
      <c r="C187">
        <v>-1.8602510234863401E-3</v>
      </c>
      <c r="D187">
        <v>-0.14708454982382199</v>
      </c>
      <c r="E187" s="1" t="s">
        <v>208</v>
      </c>
      <c r="F187">
        <v>20</v>
      </c>
      <c r="G187" t="str">
        <f>VLOOKUP(A187,[1]inrix_key!$A:$C,3,FALSE)</f>
        <v>RiverValley_S</v>
      </c>
    </row>
    <row r="188" spans="1:7" hidden="1" x14ac:dyDescent="0.25">
      <c r="A188">
        <v>448697008</v>
      </c>
      <c r="B188" t="s">
        <v>25</v>
      </c>
      <c r="C188">
        <v>-6.6836340237849498E-2</v>
      </c>
      <c r="D188">
        <v>-5.02440773382662</v>
      </c>
      <c r="E188" s="1" t="s">
        <v>209</v>
      </c>
      <c r="F188">
        <v>38</v>
      </c>
      <c r="G188" t="str">
        <f>VLOOKUP(A188,[1]inrix_key!$A:$C,3,FALSE)</f>
        <v>RiverValley_S</v>
      </c>
    </row>
    <row r="189" spans="1:7" hidden="1" x14ac:dyDescent="0.25">
      <c r="A189">
        <v>448697009</v>
      </c>
      <c r="B189" t="s">
        <v>6</v>
      </c>
      <c r="C189">
        <v>-0.14324999999999899</v>
      </c>
      <c r="D189">
        <v>-2.5305955519039798</v>
      </c>
      <c r="E189" s="1" t="s">
        <v>210</v>
      </c>
      <c r="F189">
        <v>20</v>
      </c>
      <c r="G189" t="str">
        <f>VLOOKUP(A189,[1]inrix_key!$A:$C,3,FALSE)</f>
        <v>Ustick_S</v>
      </c>
    </row>
    <row r="190" spans="1:7" hidden="1" x14ac:dyDescent="0.25">
      <c r="A190">
        <v>448697009</v>
      </c>
      <c r="B190" t="s">
        <v>7</v>
      </c>
      <c r="C190">
        <v>6.6666666666666203E-3</v>
      </c>
      <c r="D190" s="1" t="s">
        <v>211</v>
      </c>
      <c r="E190" s="1" t="s">
        <v>212</v>
      </c>
      <c r="F190">
        <v>8</v>
      </c>
      <c r="G190" t="str">
        <f>VLOOKUP(A190,[1]inrix_key!$A:$C,3,FALSE)</f>
        <v>Ustick_S</v>
      </c>
    </row>
    <row r="191" spans="1:7" hidden="1" x14ac:dyDescent="0.25">
      <c r="A191">
        <v>448697009</v>
      </c>
      <c r="B191" t="s">
        <v>8</v>
      </c>
      <c r="C191">
        <v>-0.34249999999999903</v>
      </c>
      <c r="D191">
        <v>-5.1849959040549303</v>
      </c>
      <c r="E191">
        <v>1.2738602987330701E-3</v>
      </c>
      <c r="F191">
        <v>8</v>
      </c>
      <c r="G191" t="str">
        <f>VLOOKUP(A191,[1]inrix_key!$A:$C,3,FALSE)</f>
        <v>Ustick_S</v>
      </c>
    </row>
    <row r="192" spans="1:7" hidden="1" x14ac:dyDescent="0.25">
      <c r="A192">
        <v>448697009</v>
      </c>
      <c r="B192" t="s">
        <v>10</v>
      </c>
      <c r="C192">
        <v>-4.8859649122806999E-2</v>
      </c>
      <c r="D192">
        <v>-3.5976145877146002</v>
      </c>
      <c r="E192">
        <v>2.05809087569512E-3</v>
      </c>
      <c r="F192">
        <v>19</v>
      </c>
      <c r="G192" t="str">
        <f>VLOOKUP(A192,[1]inrix_key!$A:$C,3,FALSE)</f>
        <v>Ustick_S</v>
      </c>
    </row>
    <row r="193" spans="1:7" hidden="1" x14ac:dyDescent="0.25">
      <c r="A193">
        <v>448697009</v>
      </c>
      <c r="B193" t="s">
        <v>12</v>
      </c>
      <c r="C193">
        <v>-0.104460526315789</v>
      </c>
      <c r="D193">
        <v>-4.0273092745029304</v>
      </c>
      <c r="E193">
        <v>2.6903334146450002E-4</v>
      </c>
      <c r="F193">
        <v>38</v>
      </c>
      <c r="G193" t="str">
        <f>VLOOKUP(A193,[1]inrix_key!$A:$C,3,FALSE)</f>
        <v>Ustick_S</v>
      </c>
    </row>
    <row r="194" spans="1:7" hidden="1" x14ac:dyDescent="0.25">
      <c r="A194">
        <v>448697009</v>
      </c>
      <c r="B194" t="s">
        <v>14</v>
      </c>
      <c r="C194">
        <v>-0.108332720588235</v>
      </c>
      <c r="D194">
        <v>-3.4380480655607402</v>
      </c>
      <c r="E194">
        <v>2.75655750158767E-3</v>
      </c>
      <c r="F194">
        <v>20</v>
      </c>
      <c r="G194" t="str">
        <f>VLOOKUP(A194,[1]inrix_key!$A:$C,3,FALSE)</f>
        <v>Ustick_S</v>
      </c>
    </row>
    <row r="195" spans="1:7" hidden="1" x14ac:dyDescent="0.25">
      <c r="A195">
        <v>448697009</v>
      </c>
      <c r="B195" t="s">
        <v>16</v>
      </c>
      <c r="C195">
        <v>2.3192474192474201E-2</v>
      </c>
      <c r="D195" s="1" t="s">
        <v>213</v>
      </c>
      <c r="E195">
        <v>1.9870328907999901E-2</v>
      </c>
      <c r="F195">
        <v>10</v>
      </c>
      <c r="G195" t="str">
        <f>VLOOKUP(A195,[1]inrix_key!$A:$C,3,FALSE)</f>
        <v>Ustick_S</v>
      </c>
    </row>
    <row r="196" spans="1:7" hidden="1" x14ac:dyDescent="0.25">
      <c r="A196">
        <v>448697009</v>
      </c>
      <c r="B196" t="s">
        <v>19</v>
      </c>
      <c r="C196">
        <v>-0.30816176470588202</v>
      </c>
      <c r="D196">
        <v>-15.1737420731175</v>
      </c>
      <c r="E196" s="1" t="s">
        <v>214</v>
      </c>
      <c r="F196">
        <v>8</v>
      </c>
      <c r="G196" t="str">
        <f>VLOOKUP(A196,[1]inrix_key!$A:$C,3,FALSE)</f>
        <v>Ustick_S</v>
      </c>
    </row>
    <row r="197" spans="1:7" hidden="1" x14ac:dyDescent="0.25">
      <c r="A197">
        <v>448697009</v>
      </c>
      <c r="B197" t="s">
        <v>21</v>
      </c>
      <c r="C197">
        <v>-1.9861714021272799E-2</v>
      </c>
      <c r="D197">
        <v>-1.6925085515451499</v>
      </c>
      <c r="E197" s="1" t="s">
        <v>215</v>
      </c>
      <c r="F197">
        <v>20</v>
      </c>
      <c r="G197" t="str">
        <f>VLOOKUP(A197,[1]inrix_key!$A:$C,3,FALSE)</f>
        <v>Ustick_S</v>
      </c>
    </row>
    <row r="198" spans="1:7" hidden="1" x14ac:dyDescent="0.25">
      <c r="A198">
        <v>448697009</v>
      </c>
      <c r="B198" t="s">
        <v>25</v>
      </c>
      <c r="C198">
        <v>-6.1702804806132897E-2</v>
      </c>
      <c r="D198">
        <v>-5.2942640868822002</v>
      </c>
      <c r="E198" s="1" t="s">
        <v>216</v>
      </c>
      <c r="F198">
        <v>38</v>
      </c>
      <c r="G198" t="str">
        <f>VLOOKUP(A198,[1]inrix_key!$A:$C,3,FALSE)</f>
        <v>Ustick_S</v>
      </c>
    </row>
    <row r="199" spans="1:7" hidden="1" x14ac:dyDescent="0.25">
      <c r="A199">
        <v>448697010</v>
      </c>
      <c r="B199" t="s">
        <v>6</v>
      </c>
      <c r="C199">
        <v>-2.5249999999999901E-2</v>
      </c>
      <c r="D199">
        <v>-2.3613726971803701</v>
      </c>
      <c r="E199" s="1" t="s">
        <v>217</v>
      </c>
      <c r="F199">
        <v>20</v>
      </c>
      <c r="G199" t="str">
        <f>VLOOKUP(A199,[1]inrix_key!$A:$C,3,FALSE)</f>
        <v>RiverValley_N</v>
      </c>
    </row>
    <row r="200" spans="1:7" hidden="1" x14ac:dyDescent="0.25">
      <c r="A200">
        <v>448697010</v>
      </c>
      <c r="B200" t="s">
        <v>7</v>
      </c>
      <c r="C200">
        <v>-5.3796296296296203E-2</v>
      </c>
      <c r="D200">
        <v>-2.5349978729822502</v>
      </c>
      <c r="E200">
        <v>3.4982146610315103E-2</v>
      </c>
      <c r="F200">
        <v>9</v>
      </c>
      <c r="G200" t="str">
        <f>VLOOKUP(A200,[1]inrix_key!$A:$C,3,FALSE)</f>
        <v>RiverValley_N</v>
      </c>
    </row>
    <row r="201" spans="1:7" hidden="1" x14ac:dyDescent="0.25">
      <c r="A201">
        <v>448697010</v>
      </c>
      <c r="B201" t="s">
        <v>8</v>
      </c>
      <c r="C201">
        <v>-8.59375E-2</v>
      </c>
      <c r="D201">
        <v>-4.5460534093458103</v>
      </c>
      <c r="E201">
        <v>2.6485182611934699E-3</v>
      </c>
      <c r="F201">
        <v>8</v>
      </c>
      <c r="G201" t="str">
        <f>VLOOKUP(A201,[1]inrix_key!$A:$C,3,FALSE)</f>
        <v>RiverValley_N</v>
      </c>
    </row>
    <row r="202" spans="1:7" hidden="1" x14ac:dyDescent="0.25">
      <c r="A202">
        <v>448697010</v>
      </c>
      <c r="B202" t="s">
        <v>10</v>
      </c>
      <c r="C202">
        <v>-3.2850877192982401E-2</v>
      </c>
      <c r="D202">
        <v>-7.6135816365107196</v>
      </c>
      <c r="E202" s="1" t="s">
        <v>218</v>
      </c>
      <c r="F202">
        <v>19</v>
      </c>
      <c r="G202" t="str">
        <f>VLOOKUP(A202,[1]inrix_key!$A:$C,3,FALSE)</f>
        <v>RiverValley_N</v>
      </c>
    </row>
    <row r="203" spans="1:7" hidden="1" x14ac:dyDescent="0.25">
      <c r="A203">
        <v>448697010</v>
      </c>
      <c r="B203" t="s">
        <v>12</v>
      </c>
      <c r="C203">
        <v>-4.2649122807017499E-2</v>
      </c>
      <c r="D203">
        <v>-6.2885272512402102</v>
      </c>
      <c r="E203" s="1" t="s">
        <v>219</v>
      </c>
      <c r="F203">
        <v>38</v>
      </c>
      <c r="G203" t="str">
        <f>VLOOKUP(A203,[1]inrix_key!$A:$C,3,FALSE)</f>
        <v>RiverValley_N</v>
      </c>
    </row>
    <row r="204" spans="1:7" hidden="1" x14ac:dyDescent="0.25">
      <c r="A204">
        <v>448697010</v>
      </c>
      <c r="B204" t="s">
        <v>14</v>
      </c>
      <c r="C204">
        <v>-3.8777573529411802E-2</v>
      </c>
      <c r="D204">
        <v>-3.2816648861191902</v>
      </c>
      <c r="E204">
        <v>3.9240612414055904E-3</v>
      </c>
      <c r="F204">
        <v>20</v>
      </c>
      <c r="G204" t="str">
        <f>VLOOKUP(A204,[1]inrix_key!$A:$C,3,FALSE)</f>
        <v>RiverValley_N</v>
      </c>
    </row>
    <row r="205" spans="1:7" hidden="1" x14ac:dyDescent="0.25">
      <c r="A205">
        <v>448697010</v>
      </c>
      <c r="B205" t="s">
        <v>16</v>
      </c>
      <c r="C205">
        <v>-7.6237651237651194E-2</v>
      </c>
      <c r="D205">
        <v>-6.6518847438454101</v>
      </c>
      <c r="E205" s="1" t="s">
        <v>220</v>
      </c>
      <c r="F205">
        <v>10</v>
      </c>
      <c r="G205" t="str">
        <f>VLOOKUP(A205,[1]inrix_key!$A:$C,3,FALSE)</f>
        <v>RiverValley_N</v>
      </c>
    </row>
    <row r="206" spans="1:7" hidden="1" x14ac:dyDescent="0.25">
      <c r="A206">
        <v>448697010</v>
      </c>
      <c r="B206" t="s">
        <v>19</v>
      </c>
      <c r="C206">
        <v>-8.8340992647058803E-2</v>
      </c>
      <c r="D206">
        <v>-10.781325663806101</v>
      </c>
      <c r="E206" s="1" t="s">
        <v>221</v>
      </c>
      <c r="F206">
        <v>8</v>
      </c>
      <c r="G206" t="str">
        <f>VLOOKUP(A206,[1]inrix_key!$A:$C,3,FALSE)</f>
        <v>RiverValley_N</v>
      </c>
    </row>
    <row r="207" spans="1:7" hidden="1" x14ac:dyDescent="0.25">
      <c r="A207">
        <v>448697010</v>
      </c>
      <c r="B207" t="s">
        <v>21</v>
      </c>
      <c r="C207">
        <v>-1.4765701088127499E-2</v>
      </c>
      <c r="D207">
        <v>-3.7496059499921301</v>
      </c>
      <c r="E207">
        <v>1.3571980281210901E-3</v>
      </c>
      <c r="F207">
        <v>20</v>
      </c>
      <c r="G207" t="str">
        <f>VLOOKUP(A207,[1]inrix_key!$A:$C,3,FALSE)</f>
        <v>RiverValley_N</v>
      </c>
    </row>
    <row r="208" spans="1:7" hidden="1" x14ac:dyDescent="0.25">
      <c r="A208">
        <v>448697010</v>
      </c>
      <c r="B208" t="s">
        <v>25</v>
      </c>
      <c r="C208">
        <v>-2.7251617427120501E-2</v>
      </c>
      <c r="D208">
        <v>-4.4157844636046502</v>
      </c>
      <c r="E208" s="1" t="s">
        <v>222</v>
      </c>
      <c r="F208">
        <v>38</v>
      </c>
      <c r="G208" t="str">
        <f>VLOOKUP(A208,[1]inrix_key!$A:$C,3,FALSE)</f>
        <v>RiverValley_N</v>
      </c>
    </row>
    <row r="209" spans="1:7" hidden="1" x14ac:dyDescent="0.25">
      <c r="A209">
        <v>448697011</v>
      </c>
      <c r="B209" t="s">
        <v>6</v>
      </c>
      <c r="C209">
        <v>-5.1624999999999997E-2</v>
      </c>
      <c r="D209">
        <v>-2.55231479478</v>
      </c>
      <c r="E209" s="1" t="s">
        <v>223</v>
      </c>
      <c r="F209">
        <v>20</v>
      </c>
      <c r="G209" t="str">
        <f>VLOOKUP(A209,[1]inrix_key!$A:$C,3,FALSE)</f>
        <v>Fairview_N</v>
      </c>
    </row>
    <row r="210" spans="1:7" hidden="1" x14ac:dyDescent="0.25">
      <c r="A210">
        <v>448697011</v>
      </c>
      <c r="B210" t="s">
        <v>7</v>
      </c>
      <c r="C210">
        <v>-1.01190476190476E-2</v>
      </c>
      <c r="D210">
        <v>-0.41058809539172503</v>
      </c>
      <c r="E210" s="1" t="s">
        <v>224</v>
      </c>
      <c r="F210">
        <v>7</v>
      </c>
      <c r="G210" t="str">
        <f>VLOOKUP(A210,[1]inrix_key!$A:$C,3,FALSE)</f>
        <v>Fairview_N</v>
      </c>
    </row>
    <row r="211" spans="1:7" hidden="1" x14ac:dyDescent="0.25">
      <c r="A211">
        <v>448697011</v>
      </c>
      <c r="B211" t="s">
        <v>8</v>
      </c>
      <c r="C211">
        <v>-0.1290625</v>
      </c>
      <c r="D211">
        <v>-9.40337894113744</v>
      </c>
      <c r="E211" s="1" t="s">
        <v>225</v>
      </c>
      <c r="F211">
        <v>8</v>
      </c>
      <c r="G211" t="str">
        <f>VLOOKUP(A211,[1]inrix_key!$A:$C,3,FALSE)</f>
        <v>Fairview_N</v>
      </c>
    </row>
    <row r="212" spans="1:7" hidden="1" x14ac:dyDescent="0.25">
      <c r="A212">
        <v>448697011</v>
      </c>
      <c r="B212" t="s">
        <v>10</v>
      </c>
      <c r="C212">
        <v>-1.0972222222222199E-2</v>
      </c>
      <c r="D212">
        <v>-0.75376568648468101</v>
      </c>
      <c r="E212" s="1" t="s">
        <v>226</v>
      </c>
      <c r="F212">
        <v>18</v>
      </c>
      <c r="G212" t="str">
        <f>VLOOKUP(A212,[1]inrix_key!$A:$C,3,FALSE)</f>
        <v>Fairview_N</v>
      </c>
    </row>
    <row r="213" spans="1:7" hidden="1" x14ac:dyDescent="0.25">
      <c r="A213">
        <v>448697011</v>
      </c>
      <c r="B213" t="s">
        <v>12</v>
      </c>
      <c r="C213">
        <v>-8.7285087719298202E-2</v>
      </c>
      <c r="D213">
        <v>-7.0158235633763004</v>
      </c>
      <c r="E213" s="1" t="s">
        <v>227</v>
      </c>
      <c r="F213">
        <v>38</v>
      </c>
      <c r="G213" t="str">
        <f>VLOOKUP(A213,[1]inrix_key!$A:$C,3,FALSE)</f>
        <v>Fairview_N</v>
      </c>
    </row>
    <row r="214" spans="1:7" hidden="1" x14ac:dyDescent="0.25">
      <c r="A214">
        <v>448697011</v>
      </c>
      <c r="B214" t="s">
        <v>14</v>
      </c>
      <c r="C214">
        <v>-2.9680147058823499E-2</v>
      </c>
      <c r="D214">
        <v>-1.8999710314426099</v>
      </c>
      <c r="E214">
        <v>7.2722405948233496E-2</v>
      </c>
      <c r="F214">
        <v>20</v>
      </c>
      <c r="G214" t="str">
        <f>VLOOKUP(A214,[1]inrix_key!$A:$C,3,FALSE)</f>
        <v>Fairview_N</v>
      </c>
    </row>
    <row r="215" spans="1:7" hidden="1" x14ac:dyDescent="0.25">
      <c r="A215">
        <v>448697011</v>
      </c>
      <c r="B215" t="s">
        <v>16</v>
      </c>
      <c r="C215">
        <v>-5.4552380952380901E-2</v>
      </c>
      <c r="D215">
        <v>-4.8082075884188002</v>
      </c>
      <c r="E215">
        <v>9.6264864915557302E-4</v>
      </c>
      <c r="F215">
        <v>10</v>
      </c>
      <c r="G215" t="str">
        <f>VLOOKUP(A215,[1]inrix_key!$A:$C,3,FALSE)</f>
        <v>Fairview_N</v>
      </c>
    </row>
    <row r="216" spans="1:7" hidden="1" x14ac:dyDescent="0.25">
      <c r="A216">
        <v>448697011</v>
      </c>
      <c r="B216" t="s">
        <v>19</v>
      </c>
      <c r="C216">
        <v>-0.127247242647058</v>
      </c>
      <c r="D216">
        <v>-12.9997542194263</v>
      </c>
      <c r="E216" s="1" t="s">
        <v>228</v>
      </c>
      <c r="F216">
        <v>8</v>
      </c>
      <c r="G216" t="str">
        <f>VLOOKUP(A216,[1]inrix_key!$A:$C,3,FALSE)</f>
        <v>Fairview_N</v>
      </c>
    </row>
    <row r="217" spans="1:7" hidden="1" x14ac:dyDescent="0.25">
      <c r="A217">
        <v>448697011</v>
      </c>
      <c r="B217" t="s">
        <v>21</v>
      </c>
      <c r="C217">
        <v>3.2531751336898301E-3</v>
      </c>
      <c r="D217" s="1" t="s">
        <v>229</v>
      </c>
      <c r="E217" s="1" t="s">
        <v>230</v>
      </c>
      <c r="F217">
        <v>20</v>
      </c>
      <c r="G217" t="str">
        <f>VLOOKUP(A217,[1]inrix_key!$A:$C,3,FALSE)</f>
        <v>Fairview_N</v>
      </c>
    </row>
    <row r="218" spans="1:7" hidden="1" x14ac:dyDescent="0.25">
      <c r="A218">
        <v>448697011</v>
      </c>
      <c r="B218" t="s">
        <v>25</v>
      </c>
      <c r="C218">
        <v>-5.9180046153536899E-2</v>
      </c>
      <c r="D218">
        <v>-6.3154464056079496</v>
      </c>
      <c r="E218" s="1" t="s">
        <v>231</v>
      </c>
      <c r="F218">
        <v>38</v>
      </c>
      <c r="G218" t="str">
        <f>VLOOKUP(A218,[1]inrix_key!$A:$C,3,FALSE)</f>
        <v>Fairview_N</v>
      </c>
    </row>
    <row r="219" spans="1:7" hidden="1" x14ac:dyDescent="0.25">
      <c r="A219">
        <v>448725595</v>
      </c>
      <c r="B219" t="s">
        <v>6</v>
      </c>
      <c r="C219" s="1" t="s">
        <v>232</v>
      </c>
      <c r="D219" s="1" t="s">
        <v>233</v>
      </c>
      <c r="E219" s="1" t="s">
        <v>234</v>
      </c>
      <c r="F219">
        <v>20</v>
      </c>
      <c r="G219" t="str">
        <f>VLOOKUP(A219,[1]inrix_key!$A:$C,3,FALSE)</f>
        <v>StLukes_S</v>
      </c>
    </row>
    <row r="220" spans="1:7" hidden="1" x14ac:dyDescent="0.25">
      <c r="A220">
        <v>448725595</v>
      </c>
      <c r="B220" t="s">
        <v>7</v>
      </c>
      <c r="C220">
        <v>-4.2250000000000003E-2</v>
      </c>
      <c r="D220">
        <v>-6.1173200267122896</v>
      </c>
      <c r="E220">
        <v>1.7552035327076301E-4</v>
      </c>
      <c r="F220">
        <v>10</v>
      </c>
      <c r="G220" t="str">
        <f>VLOOKUP(A220,[1]inrix_key!$A:$C,3,FALSE)</f>
        <v>StLukes_S</v>
      </c>
    </row>
    <row r="221" spans="1:7" hidden="1" x14ac:dyDescent="0.25">
      <c r="A221">
        <v>448725595</v>
      </c>
      <c r="B221" t="s">
        <v>8</v>
      </c>
      <c r="C221" s="1" t="s">
        <v>235</v>
      </c>
      <c r="D221" s="1" t="s">
        <v>236</v>
      </c>
      <c r="E221" s="1" t="s">
        <v>237</v>
      </c>
      <c r="F221">
        <v>8</v>
      </c>
      <c r="G221" t="str">
        <f>VLOOKUP(A221,[1]inrix_key!$A:$C,3,FALSE)</f>
        <v>StLukes_S</v>
      </c>
    </row>
    <row r="222" spans="1:7" hidden="1" x14ac:dyDescent="0.25">
      <c r="A222">
        <v>448725595</v>
      </c>
      <c r="B222" t="s">
        <v>10</v>
      </c>
      <c r="C222">
        <v>-1.40416666666666E-2</v>
      </c>
      <c r="D222">
        <v>-1.3088457859207401</v>
      </c>
      <c r="E222" s="1" t="s">
        <v>238</v>
      </c>
      <c r="F222">
        <v>20</v>
      </c>
      <c r="G222" t="str">
        <f>VLOOKUP(A222,[1]inrix_key!$A:$C,3,FALSE)</f>
        <v>StLukes_S</v>
      </c>
    </row>
    <row r="223" spans="1:7" hidden="1" x14ac:dyDescent="0.25">
      <c r="A223">
        <v>448725595</v>
      </c>
      <c r="B223" t="s">
        <v>12</v>
      </c>
      <c r="C223">
        <v>-2.87631578947368E-2</v>
      </c>
      <c r="D223">
        <v>-3.6283582448026999</v>
      </c>
      <c r="E223">
        <v>8.5610520244292301E-4</v>
      </c>
      <c r="F223">
        <v>38</v>
      </c>
      <c r="G223" t="str">
        <f>VLOOKUP(A223,[1]inrix_key!$A:$C,3,FALSE)</f>
        <v>StLukes_S</v>
      </c>
    </row>
    <row r="224" spans="1:7" hidden="1" x14ac:dyDescent="0.25">
      <c r="A224">
        <v>448725595</v>
      </c>
      <c r="B224" t="s">
        <v>14</v>
      </c>
      <c r="C224">
        <v>-6.3602941176472104E-4</v>
      </c>
      <c r="D224">
        <v>-5.5086656997552302E-2</v>
      </c>
      <c r="E224" s="1" t="s">
        <v>239</v>
      </c>
      <c r="F224">
        <v>20</v>
      </c>
      <c r="G224" t="str">
        <f>VLOOKUP(A224,[1]inrix_key!$A:$C,3,FALSE)</f>
        <v>StLukes_S</v>
      </c>
    </row>
    <row r="225" spans="1:7" hidden="1" x14ac:dyDescent="0.25">
      <c r="A225">
        <v>448725595</v>
      </c>
      <c r="B225" t="s">
        <v>16</v>
      </c>
      <c r="C225">
        <v>-3.9757178932178901E-2</v>
      </c>
      <c r="D225">
        <v>-4.1398026865856403</v>
      </c>
      <c r="E225">
        <v>2.5223791989269898E-3</v>
      </c>
      <c r="F225">
        <v>10</v>
      </c>
      <c r="G225" t="str">
        <f>VLOOKUP(A225,[1]inrix_key!$A:$C,3,FALSE)</f>
        <v>StLukes_S</v>
      </c>
    </row>
    <row r="226" spans="1:7" hidden="1" x14ac:dyDescent="0.25">
      <c r="A226">
        <v>448725595</v>
      </c>
      <c r="B226" t="s">
        <v>19</v>
      </c>
      <c r="C226" s="1" t="s">
        <v>240</v>
      </c>
      <c r="D226" s="1" t="s">
        <v>241</v>
      </c>
      <c r="E226">
        <v>1.92016630289011E-3</v>
      </c>
      <c r="F226">
        <v>8</v>
      </c>
      <c r="G226" t="str">
        <f>VLOOKUP(A226,[1]inrix_key!$A:$C,3,FALSE)</f>
        <v>StLukes_S</v>
      </c>
    </row>
    <row r="227" spans="1:7" hidden="1" x14ac:dyDescent="0.25">
      <c r="A227">
        <v>448725595</v>
      </c>
      <c r="B227" t="s">
        <v>21</v>
      </c>
      <c r="C227">
        <v>-4.55352862823451E-2</v>
      </c>
      <c r="D227">
        <v>-7.1728618201518399</v>
      </c>
      <c r="E227" s="1" t="s">
        <v>242</v>
      </c>
      <c r="F227">
        <v>20</v>
      </c>
      <c r="G227" t="str">
        <f>VLOOKUP(A227,[1]inrix_key!$A:$C,3,FALSE)</f>
        <v>StLukes_S</v>
      </c>
    </row>
    <row r="228" spans="1:7" hidden="1" x14ac:dyDescent="0.25">
      <c r="A228">
        <v>448725595</v>
      </c>
      <c r="B228" t="s">
        <v>25</v>
      </c>
      <c r="C228">
        <v>-1.39868374015045E-2</v>
      </c>
      <c r="D228">
        <v>-2.9251173119103901</v>
      </c>
      <c r="E228">
        <v>5.8509152685956604E-3</v>
      </c>
      <c r="F228">
        <v>38</v>
      </c>
      <c r="G228" t="str">
        <f>VLOOKUP(A228,[1]inrix_key!$A:$C,3,FALSE)</f>
        <v>StLukes_S</v>
      </c>
    </row>
    <row r="229" spans="1:7" hidden="1" x14ac:dyDescent="0.25">
      <c r="A229">
        <v>448725596</v>
      </c>
      <c r="B229" t="s">
        <v>6</v>
      </c>
      <c r="C229" s="1" t="s">
        <v>243</v>
      </c>
      <c r="D229" s="1" t="s">
        <v>244</v>
      </c>
      <c r="E229" s="1" t="s">
        <v>245</v>
      </c>
      <c r="F229">
        <v>20</v>
      </c>
      <c r="G229" t="str">
        <f>VLOOKUP(A229,[1]inrix_key!$A:$C,3,FALSE)</f>
        <v>Franklin_S</v>
      </c>
    </row>
    <row r="230" spans="1:7" hidden="1" x14ac:dyDescent="0.25">
      <c r="A230">
        <v>448725596</v>
      </c>
      <c r="B230" t="s">
        <v>7</v>
      </c>
      <c r="C230">
        <v>-3.5249999999999997E-2</v>
      </c>
      <c r="D230">
        <v>-2.74844705022868</v>
      </c>
      <c r="E230" s="1" t="s">
        <v>246</v>
      </c>
      <c r="F230">
        <v>10</v>
      </c>
      <c r="G230" t="str">
        <f>VLOOKUP(A230,[1]inrix_key!$A:$C,3,FALSE)</f>
        <v>Franklin_S</v>
      </c>
    </row>
    <row r="231" spans="1:7" hidden="1" x14ac:dyDescent="0.25">
      <c r="A231">
        <v>448725596</v>
      </c>
      <c r="B231" t="s">
        <v>8</v>
      </c>
      <c r="C231">
        <v>6.3750000000000001E-2</v>
      </c>
      <c r="D231" s="1" t="s">
        <v>247</v>
      </c>
      <c r="E231">
        <v>5.2029902341430199E-2</v>
      </c>
      <c r="F231">
        <v>8</v>
      </c>
      <c r="G231" t="str">
        <f>VLOOKUP(A231,[1]inrix_key!$A:$C,3,FALSE)</f>
        <v>Franklin_S</v>
      </c>
    </row>
    <row r="232" spans="1:7" hidden="1" x14ac:dyDescent="0.25">
      <c r="A232">
        <v>448725596</v>
      </c>
      <c r="B232" t="s">
        <v>10</v>
      </c>
      <c r="C232">
        <v>-9.8750000000000001E-3</v>
      </c>
      <c r="D232">
        <v>-0.85789375796423695</v>
      </c>
      <c r="E232" s="1" t="s">
        <v>248</v>
      </c>
      <c r="F232">
        <v>20</v>
      </c>
      <c r="G232" t="str">
        <f>VLOOKUP(A232,[1]inrix_key!$A:$C,3,FALSE)</f>
        <v>Franklin_S</v>
      </c>
    </row>
    <row r="233" spans="1:7" hidden="1" x14ac:dyDescent="0.25">
      <c r="A233">
        <v>448725596</v>
      </c>
      <c r="B233" t="s">
        <v>12</v>
      </c>
      <c r="C233">
        <v>-2.83728070175438E-2</v>
      </c>
      <c r="D233">
        <v>-3.3193080652463101</v>
      </c>
      <c r="E233">
        <v>2.0351167012723301E-3</v>
      </c>
      <c r="F233">
        <v>38</v>
      </c>
      <c r="G233" t="str">
        <f>VLOOKUP(A233,[1]inrix_key!$A:$C,3,FALSE)</f>
        <v>Franklin_S</v>
      </c>
    </row>
    <row r="234" spans="1:7" hidden="1" x14ac:dyDescent="0.25">
      <c r="A234">
        <v>448725596</v>
      </c>
      <c r="B234" t="s">
        <v>14</v>
      </c>
      <c r="C234">
        <v>1.5624999999999899E-2</v>
      </c>
      <c r="D234" s="1" t="s">
        <v>249</v>
      </c>
      <c r="E234" s="1" t="s">
        <v>250</v>
      </c>
      <c r="F234">
        <v>20</v>
      </c>
      <c r="G234" t="str">
        <f>VLOOKUP(A234,[1]inrix_key!$A:$C,3,FALSE)</f>
        <v>Franklin_S</v>
      </c>
    </row>
    <row r="235" spans="1:7" hidden="1" x14ac:dyDescent="0.25">
      <c r="A235">
        <v>448725596</v>
      </c>
      <c r="B235" t="s">
        <v>16</v>
      </c>
      <c r="C235">
        <v>-3.96965048840048E-2</v>
      </c>
      <c r="D235">
        <v>-5.4568073727660602</v>
      </c>
      <c r="E235">
        <v>4.02091461550245E-4</v>
      </c>
      <c r="F235">
        <v>10</v>
      </c>
      <c r="G235" t="str">
        <f>VLOOKUP(A235,[1]inrix_key!$A:$C,3,FALSE)</f>
        <v>Franklin_S</v>
      </c>
    </row>
    <row r="236" spans="1:7" hidden="1" x14ac:dyDescent="0.25">
      <c r="A236">
        <v>448725596</v>
      </c>
      <c r="B236" t="s">
        <v>19</v>
      </c>
      <c r="C236">
        <v>6.36029411764703E-3</v>
      </c>
      <c r="D236" s="1" t="s">
        <v>251</v>
      </c>
      <c r="E236" s="1" t="s">
        <v>252</v>
      </c>
      <c r="F236">
        <v>8</v>
      </c>
      <c r="G236" t="str">
        <f>VLOOKUP(A236,[1]inrix_key!$A:$C,3,FALSE)</f>
        <v>Franklin_S</v>
      </c>
    </row>
    <row r="237" spans="1:7" hidden="1" x14ac:dyDescent="0.25">
      <c r="A237">
        <v>448725596</v>
      </c>
      <c r="B237" t="s">
        <v>21</v>
      </c>
      <c r="C237">
        <v>-5.1259062873400998E-2</v>
      </c>
      <c r="D237">
        <v>-8.1491770047782506</v>
      </c>
      <c r="E237" s="1" t="s">
        <v>253</v>
      </c>
      <c r="F237">
        <v>20</v>
      </c>
      <c r="G237" t="str">
        <f>VLOOKUP(A237,[1]inrix_key!$A:$C,3,FALSE)</f>
        <v>Franklin_S</v>
      </c>
    </row>
    <row r="238" spans="1:7" hidden="1" x14ac:dyDescent="0.25">
      <c r="A238">
        <v>448725596</v>
      </c>
      <c r="B238" t="s">
        <v>25</v>
      </c>
      <c r="C238">
        <v>-8.6397133138619193E-3</v>
      </c>
      <c r="D238">
        <v>-1.6885740812610299</v>
      </c>
      <c r="E238">
        <v>9.9713351427934402E-2</v>
      </c>
      <c r="F238">
        <v>38</v>
      </c>
      <c r="G238" t="str">
        <f>VLOOKUP(A238,[1]inrix_key!$A:$C,3,FALSE)</f>
        <v>Franklin_S</v>
      </c>
    </row>
    <row r="239" spans="1:7" hidden="1" x14ac:dyDescent="0.25">
      <c r="A239">
        <v>448725597</v>
      </c>
      <c r="B239" t="s">
        <v>6</v>
      </c>
      <c r="C239">
        <v>-8.5000000000000006E-3</v>
      </c>
      <c r="D239">
        <v>-0.53470026609708499</v>
      </c>
      <c r="E239">
        <v>0.59905937895519101</v>
      </c>
      <c r="F239">
        <v>20</v>
      </c>
      <c r="G239" t="str">
        <f>VLOOKUP(A239,[1]inrix_key!$A:$C,3,FALSE)</f>
        <v>Ustick_E</v>
      </c>
    </row>
    <row r="240" spans="1:7" hidden="1" x14ac:dyDescent="0.25">
      <c r="A240">
        <v>448725597</v>
      </c>
      <c r="B240" t="s">
        <v>7</v>
      </c>
      <c r="C240">
        <v>-0.11749999999999899</v>
      </c>
      <c r="D240">
        <v>-4.2692004646374597</v>
      </c>
      <c r="E240">
        <v>7.9448238431139694E-3</v>
      </c>
      <c r="F240">
        <v>6</v>
      </c>
      <c r="G240" t="str">
        <f>VLOOKUP(A240,[1]inrix_key!$A:$C,3,FALSE)</f>
        <v>Ustick_E</v>
      </c>
    </row>
    <row r="241" spans="1:7" hidden="1" x14ac:dyDescent="0.25">
      <c r="A241">
        <v>448725597</v>
      </c>
      <c r="B241" t="s">
        <v>8</v>
      </c>
      <c r="C241" s="1" t="s">
        <v>254</v>
      </c>
      <c r="D241" s="1" t="s">
        <v>255</v>
      </c>
      <c r="E241">
        <v>0.52680727818555695</v>
      </c>
      <c r="F241">
        <v>8</v>
      </c>
      <c r="G241" t="str">
        <f>VLOOKUP(A241,[1]inrix_key!$A:$C,3,FALSE)</f>
        <v>Ustick_E</v>
      </c>
    </row>
    <row r="242" spans="1:7" hidden="1" x14ac:dyDescent="0.25">
      <c r="A242">
        <v>448725597</v>
      </c>
      <c r="B242" t="s">
        <v>10</v>
      </c>
      <c r="C242">
        <v>-0.101363636363636</v>
      </c>
      <c r="D242">
        <v>-4.7218111893518699</v>
      </c>
      <c r="E242">
        <v>8.1420447307323999E-4</v>
      </c>
      <c r="F242">
        <v>11</v>
      </c>
      <c r="G242" t="str">
        <f>VLOOKUP(A242,[1]inrix_key!$A:$C,3,FALSE)</f>
        <v>Ustick_E</v>
      </c>
    </row>
    <row r="243" spans="1:7" hidden="1" x14ac:dyDescent="0.25">
      <c r="A243">
        <v>448725597</v>
      </c>
      <c r="B243" t="s">
        <v>12</v>
      </c>
      <c r="C243">
        <v>-4.6513157894736798E-2</v>
      </c>
      <c r="D243">
        <v>-2.7027056238474501</v>
      </c>
      <c r="E243">
        <v>1.03234686458824E-2</v>
      </c>
      <c r="F243">
        <v>38</v>
      </c>
      <c r="G243" t="str">
        <f>VLOOKUP(A243,[1]inrix_key!$A:$C,3,FALSE)</f>
        <v>Ustick_E</v>
      </c>
    </row>
    <row r="244" spans="1:7" hidden="1" x14ac:dyDescent="0.25">
      <c r="A244">
        <v>448725597</v>
      </c>
      <c r="B244" t="s">
        <v>14</v>
      </c>
      <c r="C244">
        <v>-3.3077328431372503E-2</v>
      </c>
      <c r="D244">
        <v>-3.9740909378969098</v>
      </c>
      <c r="E244">
        <v>8.1290731636866496E-4</v>
      </c>
      <c r="F244">
        <v>20</v>
      </c>
      <c r="G244" t="str">
        <f>VLOOKUP(A244,[1]inrix_key!$A:$C,3,FALSE)</f>
        <v>Ustick_E</v>
      </c>
    </row>
    <row r="245" spans="1:7" hidden="1" x14ac:dyDescent="0.25">
      <c r="A245">
        <v>448725597</v>
      </c>
      <c r="B245" t="s">
        <v>16</v>
      </c>
      <c r="C245">
        <v>-5.7500000000000002E-2</v>
      </c>
      <c r="D245">
        <v>-2.5643648045527199</v>
      </c>
      <c r="E245">
        <v>6.2349325805508102E-2</v>
      </c>
      <c r="F245">
        <v>5</v>
      </c>
      <c r="G245" t="str">
        <f>VLOOKUP(A245,[1]inrix_key!$A:$C,3,FALSE)</f>
        <v>Ustick_E</v>
      </c>
    </row>
    <row r="246" spans="1:7" hidden="1" x14ac:dyDescent="0.25">
      <c r="A246">
        <v>448725597</v>
      </c>
      <c r="B246" t="s">
        <v>19</v>
      </c>
      <c r="C246">
        <v>4.0744485294117602E-2</v>
      </c>
      <c r="D246" s="1" t="s">
        <v>256</v>
      </c>
      <c r="E246" s="1" t="s">
        <v>257</v>
      </c>
      <c r="F246">
        <v>8</v>
      </c>
      <c r="G246" t="str">
        <f>VLOOKUP(A246,[1]inrix_key!$A:$C,3,FALSE)</f>
        <v>Ustick_E</v>
      </c>
    </row>
    <row r="247" spans="1:7" hidden="1" x14ac:dyDescent="0.25">
      <c r="A247">
        <v>448725597</v>
      </c>
      <c r="B247" t="s">
        <v>21</v>
      </c>
      <c r="C247">
        <v>-9.2506217529746901E-2</v>
      </c>
      <c r="D247">
        <v>-5.5993916216866104</v>
      </c>
      <c r="E247" s="1" t="s">
        <v>258</v>
      </c>
      <c r="F247">
        <v>15</v>
      </c>
      <c r="G247" t="str">
        <f>VLOOKUP(A247,[1]inrix_key!$A:$C,3,FALSE)</f>
        <v>Ustick_E</v>
      </c>
    </row>
    <row r="248" spans="1:7" hidden="1" x14ac:dyDescent="0.25">
      <c r="A248">
        <v>448725597</v>
      </c>
      <c r="B248" t="s">
        <v>25</v>
      </c>
      <c r="C248">
        <v>1.48057312101429E-2</v>
      </c>
      <c r="D248" s="1" t="s">
        <v>259</v>
      </c>
      <c r="E248">
        <v>7.5162306094352205E-2</v>
      </c>
      <c r="F248">
        <v>37</v>
      </c>
      <c r="G248" t="str">
        <f>VLOOKUP(A248,[1]inrix_key!$A:$C,3,FALSE)</f>
        <v>Ustick_E</v>
      </c>
    </row>
    <row r="249" spans="1:7" hidden="1" x14ac:dyDescent="0.25">
      <c r="A249">
        <v>448725599</v>
      </c>
      <c r="B249" t="s">
        <v>6</v>
      </c>
      <c r="C249">
        <v>-5.1250000000000297E-3</v>
      </c>
      <c r="D249">
        <v>-0.187226939856005</v>
      </c>
      <c r="E249" s="1" t="s">
        <v>260</v>
      </c>
      <c r="F249">
        <v>20</v>
      </c>
      <c r="G249" t="str">
        <f>VLOOKUP(A249,[1]inrix_key!$A:$C,3,FALSE)</f>
        <v>Chinden_S</v>
      </c>
    </row>
    <row r="250" spans="1:7" x14ac:dyDescent="0.25">
      <c r="A250">
        <v>448725599</v>
      </c>
      <c r="B250" t="s">
        <v>7</v>
      </c>
      <c r="C250">
        <v>-0.18388888888888799</v>
      </c>
      <c r="D250">
        <v>-3.4037564306747501</v>
      </c>
      <c r="E250">
        <v>9.3086304894167693E-3</v>
      </c>
      <c r="F250">
        <v>9</v>
      </c>
      <c r="G250" t="str">
        <f>VLOOKUP(A250,[1]inrix_key!$A:$C,3,FALSE)</f>
        <v>Chinden_S</v>
      </c>
    </row>
    <row r="251" spans="1:7" hidden="1" x14ac:dyDescent="0.25">
      <c r="A251">
        <v>448725599</v>
      </c>
      <c r="B251" t="s">
        <v>8</v>
      </c>
      <c r="C251">
        <v>4.9999999999999897E-3</v>
      </c>
      <c r="D251" s="1" t="s">
        <v>261</v>
      </c>
      <c r="E251" s="1" t="s">
        <v>262</v>
      </c>
      <c r="F251">
        <v>8</v>
      </c>
      <c r="G251" t="str">
        <f>VLOOKUP(A251,[1]inrix_key!$A:$C,3,FALSE)</f>
        <v>Chinden_S</v>
      </c>
    </row>
    <row r="252" spans="1:7" hidden="1" x14ac:dyDescent="0.25">
      <c r="A252">
        <v>448725599</v>
      </c>
      <c r="B252" t="s">
        <v>10</v>
      </c>
      <c r="C252">
        <v>-5.4313725490196002E-2</v>
      </c>
      <c r="D252">
        <v>-1.99361123423063</v>
      </c>
      <c r="E252">
        <v>6.3529144152192601E-2</v>
      </c>
      <c r="F252">
        <v>17</v>
      </c>
      <c r="G252" t="str">
        <f>VLOOKUP(A252,[1]inrix_key!$A:$C,3,FALSE)</f>
        <v>Chinden_S</v>
      </c>
    </row>
    <row r="253" spans="1:7" x14ac:dyDescent="0.25">
      <c r="A253">
        <v>448725599</v>
      </c>
      <c r="B253" t="s">
        <v>12</v>
      </c>
      <c r="C253">
        <v>-5.5972972972972997E-2</v>
      </c>
      <c r="D253">
        <v>-2.2125272857497902</v>
      </c>
      <c r="E253">
        <v>3.3359751782089601E-2</v>
      </c>
      <c r="F253">
        <v>37</v>
      </c>
      <c r="G253" t="str">
        <f>VLOOKUP(A253,[1]inrix_key!$A:$C,3,FALSE)</f>
        <v>Chinden_S</v>
      </c>
    </row>
    <row r="254" spans="1:7" hidden="1" x14ac:dyDescent="0.25">
      <c r="A254">
        <v>448725599</v>
      </c>
      <c r="B254" t="s">
        <v>14</v>
      </c>
      <c r="C254">
        <v>-8.3676470588235092E-3</v>
      </c>
      <c r="D254">
        <v>-0.41780107012885898</v>
      </c>
      <c r="E254">
        <v>0.68077629610396095</v>
      </c>
      <c r="F254">
        <v>20</v>
      </c>
      <c r="G254" t="str">
        <f>VLOOKUP(A254,[1]inrix_key!$A:$C,3,FALSE)</f>
        <v>Chinden_S</v>
      </c>
    </row>
    <row r="255" spans="1:7" hidden="1" x14ac:dyDescent="0.25">
      <c r="A255">
        <v>448725599</v>
      </c>
      <c r="B255" t="s">
        <v>16</v>
      </c>
      <c r="C255">
        <v>-5.5667307692307599E-2</v>
      </c>
      <c r="D255">
        <v>-1.79846486730179</v>
      </c>
      <c r="E255" s="1" t="s">
        <v>263</v>
      </c>
      <c r="F255">
        <v>10</v>
      </c>
      <c r="G255" t="str">
        <f>VLOOKUP(A255,[1]inrix_key!$A:$C,3,FALSE)</f>
        <v>Chinden_S</v>
      </c>
    </row>
    <row r="256" spans="1:7" hidden="1" x14ac:dyDescent="0.25">
      <c r="A256">
        <v>448725599</v>
      </c>
      <c r="B256" t="s">
        <v>19</v>
      </c>
      <c r="C256">
        <v>-6.2192095588235297E-2</v>
      </c>
      <c r="D256">
        <v>-3.1941328939492499</v>
      </c>
      <c r="E256" s="1" t="s">
        <v>264</v>
      </c>
      <c r="F256">
        <v>8</v>
      </c>
      <c r="G256" t="str">
        <f>VLOOKUP(A256,[1]inrix_key!$A:$C,3,FALSE)</f>
        <v>Chinden_S</v>
      </c>
    </row>
    <row r="257" spans="1:7" hidden="1" x14ac:dyDescent="0.25">
      <c r="A257">
        <v>448725599</v>
      </c>
      <c r="B257" t="s">
        <v>21</v>
      </c>
      <c r="C257">
        <v>1.72813521037785E-2</v>
      </c>
      <c r="D257" s="1" t="s">
        <v>265</v>
      </c>
      <c r="E257" s="1" t="s">
        <v>266</v>
      </c>
      <c r="F257">
        <v>20</v>
      </c>
      <c r="G257" t="str">
        <f>VLOOKUP(A257,[1]inrix_key!$A:$C,3,FALSE)</f>
        <v>Chinden_S</v>
      </c>
    </row>
    <row r="258" spans="1:7" x14ac:dyDescent="0.25">
      <c r="A258">
        <v>448725599</v>
      </c>
      <c r="B258" t="s">
        <v>25</v>
      </c>
      <c r="C258" s="1" t="s">
        <v>267</v>
      </c>
      <c r="D258" s="1" t="s">
        <v>268</v>
      </c>
      <c r="E258">
        <v>1.8074938298062102E-2</v>
      </c>
      <c r="F258">
        <v>38</v>
      </c>
      <c r="G258" t="str">
        <f>VLOOKUP(A258,[1]inrix_key!$A:$C,3,FALSE)</f>
        <v>Chinden_S</v>
      </c>
    </row>
    <row r="259" spans="1:7" hidden="1" x14ac:dyDescent="0.25">
      <c r="A259">
        <v>474871675</v>
      </c>
      <c r="B259" t="s">
        <v>6</v>
      </c>
      <c r="C259">
        <v>-2.2500000000000098E-3</v>
      </c>
      <c r="D259">
        <v>-0.16884183967042299</v>
      </c>
      <c r="E259" s="1" t="s">
        <v>269</v>
      </c>
      <c r="F259">
        <v>20</v>
      </c>
      <c r="G259" t="str">
        <f>VLOOKUP(A259,[1]inrix_key!$A:$C,3,FALSE)</f>
        <v>McMillan_E</v>
      </c>
    </row>
    <row r="260" spans="1:7" hidden="1" x14ac:dyDescent="0.25">
      <c r="A260">
        <v>474871675</v>
      </c>
      <c r="B260" t="s">
        <v>7</v>
      </c>
      <c r="C260">
        <v>3.6666666666666702E-2</v>
      </c>
      <c r="D260" s="1" t="s">
        <v>270</v>
      </c>
      <c r="E260">
        <v>5.3270737593742498E-2</v>
      </c>
      <c r="F260">
        <v>3</v>
      </c>
      <c r="G260" t="str">
        <f>VLOOKUP(A260,[1]inrix_key!$A:$C,3,FALSE)</f>
        <v>McMillan_E</v>
      </c>
    </row>
    <row r="261" spans="1:7" hidden="1" x14ac:dyDescent="0.25">
      <c r="A261">
        <v>474871675</v>
      </c>
      <c r="B261" t="s">
        <v>8</v>
      </c>
      <c r="C261">
        <v>-2.81249999999999E-2</v>
      </c>
      <c r="D261">
        <v>-2.6136804129818101</v>
      </c>
      <c r="E261" s="1" t="s">
        <v>271</v>
      </c>
      <c r="F261">
        <v>8</v>
      </c>
      <c r="G261" t="str">
        <f>VLOOKUP(A261,[1]inrix_key!$A:$C,3,FALSE)</f>
        <v>McMillan_E</v>
      </c>
    </row>
    <row r="262" spans="1:7" hidden="1" x14ac:dyDescent="0.25">
      <c r="A262">
        <v>474871675</v>
      </c>
      <c r="B262" t="s">
        <v>10</v>
      </c>
      <c r="C262">
        <v>-3.9285714285714202E-3</v>
      </c>
      <c r="D262">
        <v>-0.121474404350201</v>
      </c>
      <c r="E262" s="1" t="s">
        <v>272</v>
      </c>
      <c r="F262">
        <v>7</v>
      </c>
      <c r="G262" t="str">
        <f>VLOOKUP(A262,[1]inrix_key!$A:$C,3,FALSE)</f>
        <v>McMillan_E</v>
      </c>
    </row>
    <row r="263" spans="1:7" hidden="1" x14ac:dyDescent="0.25">
      <c r="A263">
        <v>474871675</v>
      </c>
      <c r="B263" t="s">
        <v>12</v>
      </c>
      <c r="C263">
        <v>5.5131578947368301E-3</v>
      </c>
      <c r="D263" s="1" t="s">
        <v>273</v>
      </c>
      <c r="E263" s="1" t="s">
        <v>274</v>
      </c>
      <c r="F263">
        <v>38</v>
      </c>
      <c r="G263" t="str">
        <f>VLOOKUP(A263,[1]inrix_key!$A:$C,3,FALSE)</f>
        <v>McMillan_E</v>
      </c>
    </row>
    <row r="264" spans="1:7" hidden="1" x14ac:dyDescent="0.25">
      <c r="A264">
        <v>474871675</v>
      </c>
      <c r="B264" t="s">
        <v>14</v>
      </c>
      <c r="C264">
        <v>-2.6720920868347299E-2</v>
      </c>
      <c r="D264">
        <v>-5.4172411960833804</v>
      </c>
      <c r="E264" s="1" t="s">
        <v>275</v>
      </c>
      <c r="F264">
        <v>20</v>
      </c>
      <c r="G264" t="str">
        <f>VLOOKUP(A264,[1]inrix_key!$A:$C,3,FALSE)</f>
        <v>McMillan_E</v>
      </c>
    </row>
    <row r="265" spans="1:7" hidden="1" x14ac:dyDescent="0.25">
      <c r="A265">
        <v>474871675</v>
      </c>
      <c r="B265" t="s">
        <v>16</v>
      </c>
      <c r="C265">
        <v>7.2222222222222002E-3</v>
      </c>
      <c r="D265" s="1" t="s">
        <v>276</v>
      </c>
      <c r="E265" s="1" t="s">
        <v>277</v>
      </c>
      <c r="F265">
        <v>6</v>
      </c>
      <c r="G265" t="str">
        <f>VLOOKUP(A265,[1]inrix_key!$A:$C,3,FALSE)</f>
        <v>McMillan_E</v>
      </c>
    </row>
    <row r="266" spans="1:7" hidden="1" x14ac:dyDescent="0.25">
      <c r="A266">
        <v>474871675</v>
      </c>
      <c r="B266" t="s">
        <v>19</v>
      </c>
      <c r="C266" s="1" t="s">
        <v>278</v>
      </c>
      <c r="D266" s="1" t="s">
        <v>279</v>
      </c>
      <c r="E266" s="1" t="s">
        <v>280</v>
      </c>
      <c r="F266">
        <v>8</v>
      </c>
      <c r="G266" t="str">
        <f>VLOOKUP(A266,[1]inrix_key!$A:$C,3,FALSE)</f>
        <v>McMillan_E</v>
      </c>
    </row>
    <row r="267" spans="1:7" hidden="1" x14ac:dyDescent="0.25">
      <c r="A267">
        <v>474871675</v>
      </c>
      <c r="B267" t="s">
        <v>21</v>
      </c>
      <c r="C267" s="1" t="s">
        <v>281</v>
      </c>
      <c r="D267" s="1" t="s">
        <v>282</v>
      </c>
      <c r="E267" s="1" t="s">
        <v>283</v>
      </c>
      <c r="F267">
        <v>15</v>
      </c>
      <c r="G267" t="str">
        <f>VLOOKUP(A267,[1]inrix_key!$A:$C,3,FALSE)</f>
        <v>McMillan_E</v>
      </c>
    </row>
    <row r="268" spans="1:7" hidden="1" x14ac:dyDescent="0.25">
      <c r="A268">
        <v>474871675</v>
      </c>
      <c r="B268" t="s">
        <v>25</v>
      </c>
      <c r="C268" s="1" t="s">
        <v>284</v>
      </c>
      <c r="D268" s="1" t="s">
        <v>285</v>
      </c>
      <c r="E268">
        <v>3.5209835562096999E-3</v>
      </c>
      <c r="F268">
        <v>38</v>
      </c>
      <c r="G268" t="str">
        <f>VLOOKUP(A268,[1]inrix_key!$A:$C,3,FALSE)</f>
        <v>McMillan_E</v>
      </c>
    </row>
    <row r="269" spans="1:7" hidden="1" x14ac:dyDescent="0.25">
      <c r="A269">
        <v>484347992</v>
      </c>
      <c r="B269" t="s">
        <v>6</v>
      </c>
      <c r="C269">
        <v>3.0833333333333299E-3</v>
      </c>
      <c r="D269" s="1" t="s">
        <v>286</v>
      </c>
      <c r="E269">
        <v>2.6165253540485101E-4</v>
      </c>
      <c r="F269">
        <v>20</v>
      </c>
      <c r="G269">
        <f>VLOOKUP(A269,[1]inrix_key!$A:$C,3,FALSE)</f>
        <v>0</v>
      </c>
    </row>
    <row r="270" spans="1:7" hidden="1" x14ac:dyDescent="0.25">
      <c r="A270">
        <v>484347992</v>
      </c>
      <c r="B270" t="s">
        <v>7</v>
      </c>
      <c r="C270">
        <v>-4.9999999999999897E-3</v>
      </c>
      <c r="D270">
        <v>-1.7320508075688701</v>
      </c>
      <c r="E270" s="1" t="s">
        <v>287</v>
      </c>
      <c r="F270">
        <v>3</v>
      </c>
      <c r="G270">
        <f>VLOOKUP(A270,[1]inrix_key!$A:$C,3,FALSE)</f>
        <v>0</v>
      </c>
    </row>
    <row r="271" spans="1:7" hidden="1" x14ac:dyDescent="0.25">
      <c r="A271">
        <v>484347992</v>
      </c>
      <c r="B271" t="s">
        <v>8</v>
      </c>
      <c r="C271">
        <v>-4.1666666666666702E-4</v>
      </c>
      <c r="D271">
        <v>-0.40347329239296498</v>
      </c>
      <c r="E271" s="1" t="s">
        <v>288</v>
      </c>
      <c r="F271">
        <v>8</v>
      </c>
      <c r="G271">
        <f>VLOOKUP(A271,[1]inrix_key!$A:$C,3,FALSE)</f>
        <v>0</v>
      </c>
    </row>
    <row r="272" spans="1:7" hidden="1" x14ac:dyDescent="0.25">
      <c r="A272">
        <v>484347992</v>
      </c>
      <c r="B272" t="s">
        <v>10</v>
      </c>
      <c r="C272">
        <v>-1.7592592592592499E-3</v>
      </c>
      <c r="D272">
        <v>-1.02928505912698</v>
      </c>
      <c r="E272" s="1" t="s">
        <v>289</v>
      </c>
      <c r="F272">
        <v>9</v>
      </c>
      <c r="G272">
        <f>VLOOKUP(A272,[1]inrix_key!$A:$C,3,FALSE)</f>
        <v>0</v>
      </c>
    </row>
    <row r="273" spans="1:7" hidden="1" x14ac:dyDescent="0.25">
      <c r="A273">
        <v>484347992</v>
      </c>
      <c r="B273" t="s">
        <v>12</v>
      </c>
      <c r="C273">
        <v>3.5144927536231801E-3</v>
      </c>
      <c r="D273" s="1" t="s">
        <v>290</v>
      </c>
      <c r="E273">
        <v>1.01522407022107E-3</v>
      </c>
      <c r="F273">
        <v>23</v>
      </c>
      <c r="G273">
        <f>VLOOKUP(A273,[1]inrix_key!$A:$C,3,FALSE)</f>
        <v>0</v>
      </c>
    </row>
    <row r="274" spans="1:7" hidden="1" x14ac:dyDescent="0.25">
      <c r="A274">
        <v>484347992</v>
      </c>
      <c r="B274" t="s">
        <v>14</v>
      </c>
      <c r="C274">
        <v>1.06300231631114E-3</v>
      </c>
      <c r="D274" s="1" t="s">
        <v>291</v>
      </c>
      <c r="E274" s="1" t="s">
        <v>292</v>
      </c>
      <c r="F274">
        <v>20</v>
      </c>
      <c r="G274">
        <f>VLOOKUP(A274,[1]inrix_key!$A:$C,3,FALSE)</f>
        <v>0</v>
      </c>
    </row>
    <row r="275" spans="1:7" hidden="1" x14ac:dyDescent="0.25">
      <c r="A275">
        <v>484347992</v>
      </c>
      <c r="B275" t="s">
        <v>16</v>
      </c>
      <c r="C275">
        <v>-7.9166666666666604E-3</v>
      </c>
      <c r="D275">
        <v>-3.8</v>
      </c>
      <c r="E275" s="1" t="s">
        <v>293</v>
      </c>
      <c r="F275">
        <v>4</v>
      </c>
      <c r="G275">
        <f>VLOOKUP(A275,[1]inrix_key!$A:$C,3,FALSE)</f>
        <v>0</v>
      </c>
    </row>
    <row r="276" spans="1:7" hidden="1" x14ac:dyDescent="0.25">
      <c r="A276">
        <v>484347992</v>
      </c>
      <c r="B276" t="s">
        <v>19</v>
      </c>
      <c r="C276">
        <v>1.27432463369963E-3</v>
      </c>
      <c r="D276" s="1" t="s">
        <v>294</v>
      </c>
      <c r="E276" s="1" t="s">
        <v>295</v>
      </c>
      <c r="F276">
        <v>8</v>
      </c>
      <c r="G276">
        <f>VLOOKUP(A276,[1]inrix_key!$A:$C,3,FALSE)</f>
        <v>0</v>
      </c>
    </row>
    <row r="277" spans="1:7" hidden="1" x14ac:dyDescent="0.25">
      <c r="A277">
        <v>484347992</v>
      </c>
      <c r="B277" t="s">
        <v>21</v>
      </c>
      <c r="C277">
        <v>-1.1735739750445601E-3</v>
      </c>
      <c r="D277">
        <v>-2.0020054065512798</v>
      </c>
      <c r="E277">
        <v>7.3143176605203794E-2</v>
      </c>
      <c r="F277">
        <v>11</v>
      </c>
      <c r="G277">
        <f>VLOOKUP(A277,[1]inrix_key!$A:$C,3,FALSE)</f>
        <v>0</v>
      </c>
    </row>
    <row r="278" spans="1:7" hidden="1" x14ac:dyDescent="0.25">
      <c r="A278">
        <v>484347992</v>
      </c>
      <c r="B278" t="s">
        <v>25</v>
      </c>
      <c r="C278">
        <v>4.22715683009801E-4</v>
      </c>
      <c r="D278">
        <v>0.80822568038837495</v>
      </c>
      <c r="E278" s="1" t="s">
        <v>296</v>
      </c>
      <c r="F278">
        <v>35</v>
      </c>
      <c r="G278">
        <f>VLOOKUP(A278,[1]inrix_key!$A:$C,3,FALSE)</f>
        <v>0</v>
      </c>
    </row>
    <row r="279" spans="1:7" hidden="1" x14ac:dyDescent="0.25">
      <c r="A279">
        <v>484366819</v>
      </c>
      <c r="B279" t="s">
        <v>6</v>
      </c>
      <c r="C279">
        <v>-9.6249999999999999E-3</v>
      </c>
      <c r="D279">
        <v>-0.99487135450596298</v>
      </c>
      <c r="E279" s="1" t="s">
        <v>297</v>
      </c>
      <c r="F279">
        <v>20</v>
      </c>
      <c r="G279" t="str">
        <f>VLOOKUP(A279,[1]inrix_key!$A:$C,3,FALSE)</f>
        <v>Pine_E</v>
      </c>
    </row>
    <row r="280" spans="1:7" hidden="1" x14ac:dyDescent="0.25">
      <c r="A280">
        <v>484366819</v>
      </c>
      <c r="B280" t="s">
        <v>7</v>
      </c>
      <c r="C280">
        <v>3.2619047619047603E-2</v>
      </c>
      <c r="D280">
        <v>0.892077584512879</v>
      </c>
      <c r="E280" s="1" t="s">
        <v>298</v>
      </c>
      <c r="F280">
        <v>7</v>
      </c>
      <c r="G280" t="str">
        <f>VLOOKUP(A280,[1]inrix_key!$A:$C,3,FALSE)</f>
        <v>Pine_E</v>
      </c>
    </row>
    <row r="281" spans="1:7" hidden="1" x14ac:dyDescent="0.25">
      <c r="A281">
        <v>484366819</v>
      </c>
      <c r="B281" t="s">
        <v>8</v>
      </c>
      <c r="C281">
        <v>-0.04</v>
      </c>
      <c r="D281">
        <v>-1.71432476185053</v>
      </c>
      <c r="E281" s="1" t="s">
        <v>299</v>
      </c>
      <c r="F281">
        <v>8</v>
      </c>
      <c r="G281" t="str">
        <f>VLOOKUP(A281,[1]inrix_key!$A:$C,3,FALSE)</f>
        <v>Pine_E</v>
      </c>
    </row>
    <row r="282" spans="1:7" hidden="1" x14ac:dyDescent="0.25">
      <c r="A282">
        <v>484366819</v>
      </c>
      <c r="B282" t="s">
        <v>10</v>
      </c>
      <c r="C282">
        <v>-7.0714285714285702E-2</v>
      </c>
      <c r="D282">
        <v>-4.2486471185080896</v>
      </c>
      <c r="E282">
        <v>9.4958248503818901E-4</v>
      </c>
      <c r="F282">
        <v>14</v>
      </c>
      <c r="G282" t="str">
        <f>VLOOKUP(A282,[1]inrix_key!$A:$C,3,FALSE)</f>
        <v>Pine_E</v>
      </c>
    </row>
    <row r="283" spans="1:7" hidden="1" x14ac:dyDescent="0.25">
      <c r="A283">
        <v>484366819</v>
      </c>
      <c r="B283" t="s">
        <v>12</v>
      </c>
      <c r="C283">
        <v>-4.3114035087719202E-2</v>
      </c>
      <c r="D283">
        <v>-4.6999887728160301</v>
      </c>
      <c r="E283" s="1" t="s">
        <v>300</v>
      </c>
      <c r="F283">
        <v>38</v>
      </c>
      <c r="G283" t="str">
        <f>VLOOKUP(A283,[1]inrix_key!$A:$C,3,FALSE)</f>
        <v>Pine_E</v>
      </c>
    </row>
    <row r="284" spans="1:7" hidden="1" x14ac:dyDescent="0.25">
      <c r="A284">
        <v>484366819</v>
      </c>
      <c r="B284" t="s">
        <v>14</v>
      </c>
      <c r="C284">
        <v>-4.00845588235293E-2</v>
      </c>
      <c r="D284">
        <v>-5.6145696013148703</v>
      </c>
      <c r="E284" s="1" t="s">
        <v>301</v>
      </c>
      <c r="F284">
        <v>20</v>
      </c>
      <c r="G284" t="str">
        <f>VLOOKUP(A284,[1]inrix_key!$A:$C,3,FALSE)</f>
        <v>Pine_E</v>
      </c>
    </row>
    <row r="285" spans="1:7" hidden="1" x14ac:dyDescent="0.25">
      <c r="A285">
        <v>484366819</v>
      </c>
      <c r="B285" t="s">
        <v>16</v>
      </c>
      <c r="C285" s="1" t="s">
        <v>302</v>
      </c>
      <c r="D285" s="1" t="s">
        <v>303</v>
      </c>
      <c r="E285" s="1" t="s">
        <v>304</v>
      </c>
      <c r="F285">
        <v>10</v>
      </c>
      <c r="G285" t="str">
        <f>VLOOKUP(A285,[1]inrix_key!$A:$C,3,FALSE)</f>
        <v>Pine_E</v>
      </c>
    </row>
    <row r="286" spans="1:7" hidden="1" x14ac:dyDescent="0.25">
      <c r="A286">
        <v>484366819</v>
      </c>
      <c r="B286" t="s">
        <v>19</v>
      </c>
      <c r="C286">
        <v>-1.8749999999999899E-2</v>
      </c>
      <c r="D286">
        <v>-2.3794987717159102</v>
      </c>
      <c r="E286" s="1" t="s">
        <v>305</v>
      </c>
      <c r="F286">
        <v>8</v>
      </c>
      <c r="G286" t="str">
        <f>VLOOKUP(A286,[1]inrix_key!$A:$C,3,FALSE)</f>
        <v>Pine_E</v>
      </c>
    </row>
    <row r="287" spans="1:7" hidden="1" x14ac:dyDescent="0.25">
      <c r="A287">
        <v>484366819</v>
      </c>
      <c r="B287" t="s">
        <v>21</v>
      </c>
      <c r="C287">
        <v>-5.1602209709794802E-2</v>
      </c>
      <c r="D287">
        <v>-5.5409166394063796</v>
      </c>
      <c r="E287" s="1" t="s">
        <v>306</v>
      </c>
      <c r="F287">
        <v>19</v>
      </c>
      <c r="G287" t="str">
        <f>VLOOKUP(A287,[1]inrix_key!$A:$C,3,FALSE)</f>
        <v>Pine_E</v>
      </c>
    </row>
    <row r="288" spans="1:7" hidden="1" x14ac:dyDescent="0.25">
      <c r="A288">
        <v>484366819</v>
      </c>
      <c r="B288" t="s">
        <v>25</v>
      </c>
      <c r="C288">
        <v>-4.1214003381379503E-2</v>
      </c>
      <c r="D288">
        <v>-4.1668519409525002</v>
      </c>
      <c r="E288">
        <v>1.7790080159659101E-4</v>
      </c>
      <c r="F288">
        <v>38</v>
      </c>
      <c r="G288" t="str">
        <f>VLOOKUP(A288,[1]inrix_key!$A:$C,3,FALSE)</f>
        <v>Pine_E</v>
      </c>
    </row>
    <row r="289" spans="1:7" hidden="1" x14ac:dyDescent="0.25">
      <c r="A289">
        <v>484371307</v>
      </c>
      <c r="B289" t="s">
        <v>6</v>
      </c>
      <c r="C289">
        <v>-6.37499999999999E-3</v>
      </c>
      <c r="D289">
        <v>-0.85717949511024105</v>
      </c>
      <c r="E289" s="1" t="s">
        <v>307</v>
      </c>
      <c r="F289">
        <v>20</v>
      </c>
      <c r="G289" t="str">
        <f>VLOOKUP(A289,[1]inrix_key!$A:$C,3,FALSE)</f>
        <v>Pine_E</v>
      </c>
    </row>
    <row r="290" spans="1:7" hidden="1" x14ac:dyDescent="0.25">
      <c r="A290">
        <v>484371307</v>
      </c>
      <c r="B290" t="s">
        <v>7</v>
      </c>
      <c r="C290" s="1" t="s">
        <v>308</v>
      </c>
      <c r="D290" s="1" t="s">
        <v>309</v>
      </c>
      <c r="E290">
        <v>9.7014941812697403E-2</v>
      </c>
      <c r="F290">
        <v>7</v>
      </c>
      <c r="G290" t="str">
        <f>VLOOKUP(A290,[1]inrix_key!$A:$C,3,FALSE)</f>
        <v>Pine_E</v>
      </c>
    </row>
    <row r="291" spans="1:7" hidden="1" x14ac:dyDescent="0.25">
      <c r="A291">
        <v>484371307</v>
      </c>
      <c r="B291" t="s">
        <v>8</v>
      </c>
      <c r="C291">
        <v>-1.8541666666666599E-2</v>
      </c>
      <c r="D291">
        <v>-1.72623869659449</v>
      </c>
      <c r="E291" s="1" t="s">
        <v>310</v>
      </c>
      <c r="F291">
        <v>8</v>
      </c>
      <c r="G291" t="str">
        <f>VLOOKUP(A291,[1]inrix_key!$A:$C,3,FALSE)</f>
        <v>Pine_E</v>
      </c>
    </row>
    <row r="292" spans="1:7" hidden="1" x14ac:dyDescent="0.25">
      <c r="A292">
        <v>484371307</v>
      </c>
      <c r="B292" t="s">
        <v>10</v>
      </c>
      <c r="C292">
        <v>-2.4062500000000001E-2</v>
      </c>
      <c r="D292">
        <v>-3.04893711977858</v>
      </c>
      <c r="E292">
        <v>8.1210539779296691E-3</v>
      </c>
      <c r="F292">
        <v>16</v>
      </c>
      <c r="G292" t="str">
        <f>VLOOKUP(A292,[1]inrix_key!$A:$C,3,FALSE)</f>
        <v>Pine_E</v>
      </c>
    </row>
    <row r="293" spans="1:7" hidden="1" x14ac:dyDescent="0.25">
      <c r="A293">
        <v>484371307</v>
      </c>
      <c r="B293" t="s">
        <v>12</v>
      </c>
      <c r="C293">
        <v>-2.16140350877192E-2</v>
      </c>
      <c r="D293">
        <v>-3.3529738213270299</v>
      </c>
      <c r="E293">
        <v>1.8546955796129999E-3</v>
      </c>
      <c r="F293">
        <v>38</v>
      </c>
      <c r="G293" t="str">
        <f>VLOOKUP(A293,[1]inrix_key!$A:$C,3,FALSE)</f>
        <v>Pine_E</v>
      </c>
    </row>
    <row r="294" spans="1:7" hidden="1" x14ac:dyDescent="0.25">
      <c r="A294">
        <v>484371307</v>
      </c>
      <c r="B294" t="s">
        <v>14</v>
      </c>
      <c r="C294">
        <v>-2.7152573529411701E-2</v>
      </c>
      <c r="D294">
        <v>-6.2320678769961004</v>
      </c>
      <c r="E294" s="1" t="s">
        <v>311</v>
      </c>
      <c r="F294">
        <v>20</v>
      </c>
      <c r="G294" t="str">
        <f>VLOOKUP(A294,[1]inrix_key!$A:$C,3,FALSE)</f>
        <v>Pine_E</v>
      </c>
    </row>
    <row r="295" spans="1:7" hidden="1" x14ac:dyDescent="0.25">
      <c r="A295">
        <v>484371307</v>
      </c>
      <c r="B295" t="s">
        <v>16</v>
      </c>
      <c r="C295">
        <v>6.30952380952381E-3</v>
      </c>
      <c r="D295" s="1" t="s">
        <v>312</v>
      </c>
      <c r="E295" s="1" t="s">
        <v>313</v>
      </c>
      <c r="F295">
        <v>10</v>
      </c>
      <c r="G295" t="str">
        <f>VLOOKUP(A295,[1]inrix_key!$A:$C,3,FALSE)</f>
        <v>Pine_E</v>
      </c>
    </row>
    <row r="296" spans="1:7" hidden="1" x14ac:dyDescent="0.25">
      <c r="A296">
        <v>484371307</v>
      </c>
      <c r="B296" t="s">
        <v>19</v>
      </c>
      <c r="C296">
        <v>-9.3566176470588208E-3</v>
      </c>
      <c r="D296">
        <v>-1.62026100464898</v>
      </c>
      <c r="E296" s="1" t="s">
        <v>314</v>
      </c>
      <c r="F296">
        <v>8</v>
      </c>
      <c r="G296" t="str">
        <f>VLOOKUP(A296,[1]inrix_key!$A:$C,3,FALSE)</f>
        <v>Pine_E</v>
      </c>
    </row>
    <row r="297" spans="1:7" hidden="1" x14ac:dyDescent="0.25">
      <c r="A297">
        <v>484371307</v>
      </c>
      <c r="B297" t="s">
        <v>21</v>
      </c>
      <c r="C297">
        <v>-3.4705741583837497E-2</v>
      </c>
      <c r="D297">
        <v>-8.0339159363311499</v>
      </c>
      <c r="E297" s="1" t="s">
        <v>315</v>
      </c>
      <c r="F297">
        <v>19</v>
      </c>
      <c r="G297" t="str">
        <f>VLOOKUP(A297,[1]inrix_key!$A:$C,3,FALSE)</f>
        <v>Pine_E</v>
      </c>
    </row>
    <row r="298" spans="1:7" hidden="1" x14ac:dyDescent="0.25">
      <c r="A298">
        <v>484371307</v>
      </c>
      <c r="B298" t="s">
        <v>25</v>
      </c>
      <c r="C298">
        <v>-4.3784345814144501E-3</v>
      </c>
      <c r="D298">
        <v>-0.82467086564441106</v>
      </c>
      <c r="E298" s="1" t="s">
        <v>316</v>
      </c>
      <c r="F298">
        <v>38</v>
      </c>
      <c r="G298" t="str">
        <f>VLOOKUP(A298,[1]inrix_key!$A:$C,3,FALSE)</f>
        <v>Pine_E</v>
      </c>
    </row>
    <row r="299" spans="1:7" hidden="1" x14ac:dyDescent="0.25">
      <c r="A299">
        <v>1187327938</v>
      </c>
      <c r="B299" t="s">
        <v>6</v>
      </c>
      <c r="C299">
        <v>-2.4874999999999901E-2</v>
      </c>
      <c r="D299">
        <v>-1.3513606076495299</v>
      </c>
      <c r="E299" s="1" t="s">
        <v>317</v>
      </c>
      <c r="F299">
        <v>20</v>
      </c>
      <c r="G299" t="str">
        <f>VLOOKUP(A299,[1]inrix_key!$A:$C,3,FALSE)</f>
        <v>Franklin_W</v>
      </c>
    </row>
    <row r="300" spans="1:7" hidden="1" x14ac:dyDescent="0.25">
      <c r="A300">
        <v>1187327938</v>
      </c>
      <c r="B300" t="s">
        <v>7</v>
      </c>
      <c r="C300">
        <v>-3.46666666666667E-2</v>
      </c>
      <c r="D300">
        <v>-0.49781426149229602</v>
      </c>
      <c r="E300" s="1" t="s">
        <v>318</v>
      </c>
      <c r="F300">
        <v>10</v>
      </c>
      <c r="G300" t="str">
        <f>VLOOKUP(A300,[1]inrix_key!$A:$C,3,FALSE)</f>
        <v>Franklin_W</v>
      </c>
    </row>
    <row r="301" spans="1:7" hidden="1" x14ac:dyDescent="0.25">
      <c r="A301">
        <v>1187327938</v>
      </c>
      <c r="B301" t="s">
        <v>8</v>
      </c>
      <c r="C301">
        <v>-6.9374999999999895E-2</v>
      </c>
      <c r="D301">
        <v>-2.23002579565784</v>
      </c>
      <c r="E301" s="1" t="s">
        <v>319</v>
      </c>
      <c r="F301">
        <v>8</v>
      </c>
      <c r="G301" t="str">
        <f>VLOOKUP(A301,[1]inrix_key!$A:$C,3,FALSE)</f>
        <v>Franklin_W</v>
      </c>
    </row>
    <row r="302" spans="1:7" hidden="1" x14ac:dyDescent="0.25">
      <c r="A302">
        <v>1187327938</v>
      </c>
      <c r="B302" t="s">
        <v>10</v>
      </c>
      <c r="C302">
        <v>-2.0606060606060499E-2</v>
      </c>
      <c r="D302">
        <v>-0.89076111611964803</v>
      </c>
      <c r="E302" s="1" t="s">
        <v>320</v>
      </c>
      <c r="F302">
        <v>11</v>
      </c>
      <c r="G302" t="str">
        <f>VLOOKUP(A302,[1]inrix_key!$A:$C,3,FALSE)</f>
        <v>Franklin_W</v>
      </c>
    </row>
    <row r="303" spans="1:7" hidden="1" x14ac:dyDescent="0.25">
      <c r="A303">
        <v>1187327938</v>
      </c>
      <c r="B303" t="s">
        <v>12</v>
      </c>
      <c r="C303">
        <v>-6.1693693693693701E-2</v>
      </c>
      <c r="D303">
        <v>-2.9815797813918001</v>
      </c>
      <c r="E303">
        <v>5.1176954458229699E-3</v>
      </c>
      <c r="F303">
        <v>37</v>
      </c>
      <c r="G303" t="str">
        <f>VLOOKUP(A303,[1]inrix_key!$A:$C,3,FALSE)</f>
        <v>Franklin_W</v>
      </c>
    </row>
    <row r="304" spans="1:7" hidden="1" x14ac:dyDescent="0.25">
      <c r="A304">
        <v>1187327938</v>
      </c>
      <c r="B304" t="s">
        <v>14</v>
      </c>
      <c r="C304">
        <v>-9.2687499999999895E-2</v>
      </c>
      <c r="D304">
        <v>-4.4719584915523098</v>
      </c>
      <c r="E304">
        <v>2.61298650982553E-4</v>
      </c>
      <c r="F304">
        <v>20</v>
      </c>
      <c r="G304" t="str">
        <f>VLOOKUP(A304,[1]inrix_key!$A:$C,3,FALSE)</f>
        <v>Franklin_W</v>
      </c>
    </row>
    <row r="305" spans="1:7" hidden="1" x14ac:dyDescent="0.25">
      <c r="A305">
        <v>1187327938</v>
      </c>
      <c r="B305" t="s">
        <v>16</v>
      </c>
      <c r="C305" s="1" t="s">
        <v>321</v>
      </c>
      <c r="D305" s="1" t="s">
        <v>322</v>
      </c>
      <c r="E305">
        <v>3.39087041699073E-3</v>
      </c>
      <c r="F305">
        <v>10</v>
      </c>
      <c r="G305" t="str">
        <f>VLOOKUP(A305,[1]inrix_key!$A:$C,3,FALSE)</f>
        <v>Franklin_W</v>
      </c>
    </row>
    <row r="306" spans="1:7" hidden="1" x14ac:dyDescent="0.25">
      <c r="A306">
        <v>1187327938</v>
      </c>
      <c r="B306" t="s">
        <v>19</v>
      </c>
      <c r="C306">
        <v>-3.6930147058823498E-2</v>
      </c>
      <c r="D306">
        <v>-2.8903243749436598</v>
      </c>
      <c r="E306" s="1" t="s">
        <v>323</v>
      </c>
      <c r="F306">
        <v>8</v>
      </c>
      <c r="G306" t="str">
        <f>VLOOKUP(A306,[1]inrix_key!$A:$C,3,FALSE)</f>
        <v>Franklin_W</v>
      </c>
    </row>
    <row r="307" spans="1:7" hidden="1" x14ac:dyDescent="0.25">
      <c r="A307">
        <v>1187327938</v>
      </c>
      <c r="B307" t="s">
        <v>21</v>
      </c>
      <c r="C307">
        <v>-2.0363437828511299E-2</v>
      </c>
      <c r="D307">
        <v>-0.68653687152461496</v>
      </c>
      <c r="E307" s="1" t="s">
        <v>324</v>
      </c>
      <c r="F307">
        <v>20</v>
      </c>
      <c r="G307" t="str">
        <f>VLOOKUP(A307,[1]inrix_key!$A:$C,3,FALSE)</f>
        <v>Franklin_W</v>
      </c>
    </row>
    <row r="308" spans="1:7" hidden="1" x14ac:dyDescent="0.25">
      <c r="A308">
        <v>1187327938</v>
      </c>
      <c r="B308" t="s">
        <v>25</v>
      </c>
      <c r="C308">
        <v>-4.7494937869937803E-2</v>
      </c>
      <c r="D308">
        <v>-4.86112044617074</v>
      </c>
      <c r="E308" s="1" t="s">
        <v>325</v>
      </c>
      <c r="F308">
        <v>37</v>
      </c>
      <c r="G308" t="str">
        <f>VLOOKUP(A308,[1]inrix_key!$A:$C,3,FALSE)</f>
        <v>Franklin_W</v>
      </c>
    </row>
    <row r="309" spans="1:7" hidden="1" x14ac:dyDescent="0.25">
      <c r="A309">
        <v>1187333605</v>
      </c>
      <c r="B309" t="s">
        <v>6</v>
      </c>
      <c r="C309">
        <v>-5.4624999999999903E-2</v>
      </c>
      <c r="D309">
        <v>-3.0762806458578198</v>
      </c>
      <c r="E309">
        <v>6.2149284022638704E-3</v>
      </c>
      <c r="F309">
        <v>20</v>
      </c>
      <c r="G309" t="str">
        <f>VLOOKUP(A309,[1]inrix_key!$A:$C,3,FALSE)</f>
        <v>Colchester_N</v>
      </c>
    </row>
    <row r="310" spans="1:7" hidden="1" x14ac:dyDescent="0.25">
      <c r="A310">
        <v>1187333605</v>
      </c>
      <c r="B310" t="s">
        <v>7</v>
      </c>
      <c r="C310">
        <v>-6.7416666666666597E-2</v>
      </c>
      <c r="D310">
        <v>-1.44474293403715</v>
      </c>
      <c r="E310" s="1" t="s">
        <v>326</v>
      </c>
      <c r="F310">
        <v>10</v>
      </c>
      <c r="G310" t="str">
        <f>VLOOKUP(A310,[1]inrix_key!$A:$C,3,FALSE)</f>
        <v>Colchester_N</v>
      </c>
    </row>
    <row r="311" spans="1:7" hidden="1" x14ac:dyDescent="0.25">
      <c r="A311">
        <v>1187333605</v>
      </c>
      <c r="B311" t="s">
        <v>8</v>
      </c>
      <c r="C311">
        <v>-0.104375</v>
      </c>
      <c r="D311">
        <v>-2.2263274426143198</v>
      </c>
      <c r="E311">
        <v>6.1302176641969602E-2</v>
      </c>
      <c r="F311">
        <v>8</v>
      </c>
      <c r="G311" t="str">
        <f>VLOOKUP(A311,[1]inrix_key!$A:$C,3,FALSE)</f>
        <v>Colchester_N</v>
      </c>
    </row>
    <row r="312" spans="1:7" hidden="1" x14ac:dyDescent="0.25">
      <c r="A312">
        <v>1187333605</v>
      </c>
      <c r="B312" t="s">
        <v>10</v>
      </c>
      <c r="C312">
        <v>-0.114041666666666</v>
      </c>
      <c r="D312">
        <v>-4.6770445480106302</v>
      </c>
      <c r="E312">
        <v>1.6421575579466399E-4</v>
      </c>
      <c r="F312">
        <v>20</v>
      </c>
      <c r="G312" t="str">
        <f>VLOOKUP(A312,[1]inrix_key!$A:$C,3,FALSE)</f>
        <v>Colchester_N</v>
      </c>
    </row>
    <row r="313" spans="1:7" hidden="1" x14ac:dyDescent="0.25">
      <c r="A313">
        <v>1187333605</v>
      </c>
      <c r="B313" t="s">
        <v>12</v>
      </c>
      <c r="C313">
        <v>-0.12212280701754299</v>
      </c>
      <c r="D313">
        <v>-6.71589965189232</v>
      </c>
      <c r="E313" s="1" t="s">
        <v>327</v>
      </c>
      <c r="F313">
        <v>38</v>
      </c>
      <c r="G313" t="str">
        <f>VLOOKUP(A313,[1]inrix_key!$A:$C,3,FALSE)</f>
        <v>Colchester_N</v>
      </c>
    </row>
    <row r="314" spans="1:7" hidden="1" x14ac:dyDescent="0.25">
      <c r="A314">
        <v>1187333605</v>
      </c>
      <c r="B314" t="s">
        <v>14</v>
      </c>
      <c r="C314">
        <v>-4.20955882352941E-2</v>
      </c>
      <c r="D314">
        <v>-2.5417282778761399</v>
      </c>
      <c r="E314" s="1" t="s">
        <v>328</v>
      </c>
      <c r="F314">
        <v>20</v>
      </c>
      <c r="G314" t="str">
        <f>VLOOKUP(A314,[1]inrix_key!$A:$C,3,FALSE)</f>
        <v>Colchester_N</v>
      </c>
    </row>
    <row r="315" spans="1:7" hidden="1" x14ac:dyDescent="0.25">
      <c r="A315">
        <v>1187333605</v>
      </c>
      <c r="B315" t="s">
        <v>16</v>
      </c>
      <c r="C315">
        <v>-0.14612781385281301</v>
      </c>
      <c r="D315">
        <v>-5.1597638019075003</v>
      </c>
      <c r="E315">
        <v>5.9528050896714502E-4</v>
      </c>
      <c r="F315">
        <v>10</v>
      </c>
      <c r="G315" t="str">
        <f>VLOOKUP(A315,[1]inrix_key!$A:$C,3,FALSE)</f>
        <v>Colchester_N</v>
      </c>
    </row>
    <row r="316" spans="1:7" hidden="1" x14ac:dyDescent="0.25">
      <c r="A316">
        <v>1187333605</v>
      </c>
      <c r="B316" t="s">
        <v>19</v>
      </c>
      <c r="C316">
        <v>-0.226383272058823</v>
      </c>
      <c r="D316">
        <v>-6.3551085239662797</v>
      </c>
      <c r="E316">
        <v>3.8335076582720799E-4</v>
      </c>
      <c r="F316">
        <v>8</v>
      </c>
      <c r="G316" t="str">
        <f>VLOOKUP(A316,[1]inrix_key!$A:$C,3,FALSE)</f>
        <v>Colchester_N</v>
      </c>
    </row>
    <row r="317" spans="1:7" hidden="1" x14ac:dyDescent="0.25">
      <c r="A317">
        <v>1187333605</v>
      </c>
      <c r="B317" t="s">
        <v>21</v>
      </c>
      <c r="C317">
        <v>-5.1618616840675598E-2</v>
      </c>
      <c r="D317">
        <v>-3.4011230576726601</v>
      </c>
      <c r="E317">
        <v>2.9968444383580701E-3</v>
      </c>
      <c r="F317">
        <v>20</v>
      </c>
      <c r="G317" t="str">
        <f>VLOOKUP(A317,[1]inrix_key!$A:$C,3,FALSE)</f>
        <v>Colchester_N</v>
      </c>
    </row>
    <row r="318" spans="1:7" hidden="1" x14ac:dyDescent="0.25">
      <c r="A318">
        <v>1187333605</v>
      </c>
      <c r="B318" t="s">
        <v>25</v>
      </c>
      <c r="C318">
        <v>-0.13176688462466299</v>
      </c>
      <c r="D318">
        <v>-6.71130926913506</v>
      </c>
      <c r="E318" s="1" t="s">
        <v>329</v>
      </c>
      <c r="F318">
        <v>38</v>
      </c>
      <c r="G318" t="str">
        <f>VLOOKUP(A318,[1]inrix_key!$A:$C,3,FALSE)</f>
        <v>Colchester_N</v>
      </c>
    </row>
    <row r="319" spans="1:7" hidden="1" x14ac:dyDescent="0.25">
      <c r="A319">
        <v>1187333665</v>
      </c>
      <c r="B319" t="s">
        <v>6</v>
      </c>
      <c r="C319">
        <v>-0.18687500000000001</v>
      </c>
      <c r="D319">
        <v>-2.6766881839257701</v>
      </c>
      <c r="E319" s="1" t="s">
        <v>330</v>
      </c>
      <c r="F319">
        <v>20</v>
      </c>
      <c r="G319" t="str">
        <f>VLOOKUP(A319,[1]inrix_key!$A:$C,3,FALSE)</f>
        <v>Chinden_N</v>
      </c>
    </row>
    <row r="320" spans="1:7" x14ac:dyDescent="0.25">
      <c r="A320">
        <v>1187333665</v>
      </c>
      <c r="B320" t="s">
        <v>7</v>
      </c>
      <c r="C320">
        <v>-0.117666666666666</v>
      </c>
      <c r="D320">
        <v>-3.0973254924117102</v>
      </c>
      <c r="E320">
        <v>3.6315185429608897E-2</v>
      </c>
      <c r="F320">
        <v>5</v>
      </c>
      <c r="G320" t="str">
        <f>VLOOKUP(A320,[1]inrix_key!$A:$C,3,FALSE)</f>
        <v>Chinden_N</v>
      </c>
    </row>
    <row r="321" spans="1:7" x14ac:dyDescent="0.25">
      <c r="A321">
        <v>1187333665</v>
      </c>
      <c r="B321" t="s">
        <v>8</v>
      </c>
      <c r="C321">
        <v>-0.59312500000000001</v>
      </c>
      <c r="D321">
        <v>-3.9003895042326602</v>
      </c>
      <c r="E321">
        <v>5.8959207640812703E-3</v>
      </c>
      <c r="F321">
        <v>8</v>
      </c>
      <c r="G321" t="str">
        <f>VLOOKUP(A321,[1]inrix_key!$A:$C,3,FALSE)</f>
        <v>Chinden_N</v>
      </c>
    </row>
    <row r="322" spans="1:7" hidden="1" x14ac:dyDescent="0.25">
      <c r="A322">
        <v>1187333665</v>
      </c>
      <c r="B322" t="s">
        <v>10</v>
      </c>
      <c r="C322">
        <v>-4.8166666666666601E-2</v>
      </c>
      <c r="D322">
        <v>-1.51200960024654</v>
      </c>
      <c r="E322" s="1" t="s">
        <v>331</v>
      </c>
      <c r="F322">
        <v>20</v>
      </c>
      <c r="G322" t="str">
        <f>VLOOKUP(A322,[1]inrix_key!$A:$C,3,FALSE)</f>
        <v>Chinden_N</v>
      </c>
    </row>
    <row r="323" spans="1:7" x14ac:dyDescent="0.25">
      <c r="A323">
        <v>1187333665</v>
      </c>
      <c r="B323" t="s">
        <v>12</v>
      </c>
      <c r="C323">
        <v>-0.113521929824561</v>
      </c>
      <c r="D323">
        <v>-3.36165761612896</v>
      </c>
      <c r="E323">
        <v>1.8106988490765601E-3</v>
      </c>
      <c r="F323">
        <v>38</v>
      </c>
      <c r="G323" t="str">
        <f>VLOOKUP(A323,[1]inrix_key!$A:$C,3,FALSE)</f>
        <v>Chinden_N</v>
      </c>
    </row>
    <row r="324" spans="1:7" x14ac:dyDescent="0.25">
      <c r="A324">
        <v>1187333665</v>
      </c>
      <c r="B324" t="s">
        <v>14</v>
      </c>
      <c r="C324">
        <v>-0.190229779411764</v>
      </c>
      <c r="D324">
        <v>-3.4514689611094398</v>
      </c>
      <c r="E324">
        <v>2.6740093783934799E-3</v>
      </c>
      <c r="F324">
        <v>20</v>
      </c>
      <c r="G324" t="str">
        <f>VLOOKUP(A324,[1]inrix_key!$A:$C,3,FALSE)</f>
        <v>Chinden_N</v>
      </c>
    </row>
    <row r="325" spans="1:7" x14ac:dyDescent="0.25">
      <c r="A325">
        <v>1187333665</v>
      </c>
      <c r="B325" t="s">
        <v>16</v>
      </c>
      <c r="C325">
        <v>-0.15914886224886199</v>
      </c>
      <c r="D325">
        <v>-3.25013497192097</v>
      </c>
      <c r="E325">
        <v>9.9952104137811994E-3</v>
      </c>
      <c r="F325">
        <v>10</v>
      </c>
      <c r="G325" t="str">
        <f>VLOOKUP(A325,[1]inrix_key!$A:$C,3,FALSE)</f>
        <v>Chinden_N</v>
      </c>
    </row>
    <row r="326" spans="1:7" hidden="1" x14ac:dyDescent="0.25">
      <c r="A326">
        <v>1187333665</v>
      </c>
      <c r="B326" t="s">
        <v>19</v>
      </c>
      <c r="C326">
        <v>-0.63059283088235296</v>
      </c>
      <c r="D326">
        <v>-16.1702993443457</v>
      </c>
      <c r="E326" s="1" t="s">
        <v>332</v>
      </c>
      <c r="F326">
        <v>8</v>
      </c>
      <c r="G326" t="str">
        <f>VLOOKUP(A326,[1]inrix_key!$A:$C,3,FALSE)</f>
        <v>Chinden_N</v>
      </c>
    </row>
    <row r="327" spans="1:7" x14ac:dyDescent="0.25">
      <c r="A327">
        <v>1187333665</v>
      </c>
      <c r="B327" t="s">
        <v>21</v>
      </c>
      <c r="C327">
        <v>-5.9104420252949597E-2</v>
      </c>
      <c r="D327">
        <v>-2.4881078426275902</v>
      </c>
      <c r="E327">
        <v>2.22918922163075E-2</v>
      </c>
      <c r="F327">
        <v>20</v>
      </c>
      <c r="G327" t="str">
        <f>VLOOKUP(A327,[1]inrix_key!$A:$C,3,FALSE)</f>
        <v>Chinden_N</v>
      </c>
    </row>
    <row r="328" spans="1:7" hidden="1" x14ac:dyDescent="0.25">
      <c r="A328">
        <v>1187333665</v>
      </c>
      <c r="B328" t="s">
        <v>25</v>
      </c>
      <c r="C328">
        <v>-0.12704631810398001</v>
      </c>
      <c r="D328">
        <v>-4.3851195319754002</v>
      </c>
      <c r="E328" s="1" t="s">
        <v>333</v>
      </c>
      <c r="F328">
        <v>38</v>
      </c>
      <c r="G328" t="str">
        <f>VLOOKUP(A328,[1]inrix_key!$A:$C,3,FALSE)</f>
        <v>Chinden_N</v>
      </c>
    </row>
    <row r="329" spans="1:7" hidden="1" x14ac:dyDescent="0.25">
      <c r="A329">
        <v>1187334983</v>
      </c>
      <c r="B329" t="s">
        <v>6</v>
      </c>
      <c r="C329">
        <v>-3.2875000000000001E-2</v>
      </c>
      <c r="D329">
        <v>-1.47903369701195</v>
      </c>
      <c r="E329" s="1" t="s">
        <v>334</v>
      </c>
      <c r="F329">
        <v>20</v>
      </c>
      <c r="G329" t="str">
        <f>VLOOKUP(A329,[1]inrix_key!$A:$C,3,FALSE)</f>
        <v>Wainwright_N</v>
      </c>
    </row>
    <row r="330" spans="1:7" hidden="1" x14ac:dyDescent="0.25">
      <c r="A330">
        <v>1187334983</v>
      </c>
      <c r="B330" t="s">
        <v>7</v>
      </c>
      <c r="C330" s="1" t="s">
        <v>335</v>
      </c>
      <c r="D330" s="1" t="s">
        <v>336</v>
      </c>
      <c r="E330" s="1" t="s">
        <v>337</v>
      </c>
      <c r="F330">
        <v>8</v>
      </c>
      <c r="G330" t="str">
        <f>VLOOKUP(A330,[1]inrix_key!$A:$C,3,FALSE)</f>
        <v>Wainwright_N</v>
      </c>
    </row>
    <row r="331" spans="1:7" hidden="1" x14ac:dyDescent="0.25">
      <c r="A331">
        <v>1187334983</v>
      </c>
      <c r="B331" t="s">
        <v>8</v>
      </c>
      <c r="C331">
        <v>-1.4687499999999999E-2</v>
      </c>
      <c r="D331">
        <v>-0.623444952322599</v>
      </c>
      <c r="E331" s="1" t="s">
        <v>338</v>
      </c>
      <c r="F331">
        <v>8</v>
      </c>
      <c r="G331" t="str">
        <f>VLOOKUP(A331,[1]inrix_key!$A:$C,3,FALSE)</f>
        <v>Wainwright_N</v>
      </c>
    </row>
    <row r="332" spans="1:7" hidden="1" x14ac:dyDescent="0.25">
      <c r="A332">
        <v>1187334983</v>
      </c>
      <c r="B332" t="s">
        <v>10</v>
      </c>
      <c r="C332">
        <v>3.24561403508773E-3</v>
      </c>
      <c r="D332" s="1" t="s">
        <v>339</v>
      </c>
      <c r="E332" s="1" t="s">
        <v>340</v>
      </c>
      <c r="F332">
        <v>19</v>
      </c>
      <c r="G332" t="str">
        <f>VLOOKUP(A332,[1]inrix_key!$A:$C,3,FALSE)</f>
        <v>Wainwright_N</v>
      </c>
    </row>
    <row r="333" spans="1:7" hidden="1" x14ac:dyDescent="0.25">
      <c r="A333">
        <v>1187334983</v>
      </c>
      <c r="B333" t="s">
        <v>12</v>
      </c>
      <c r="C333">
        <v>-2.2745614035087701E-2</v>
      </c>
      <c r="D333">
        <v>-3.7644840428458299</v>
      </c>
      <c r="E333">
        <v>5.7939594921561401E-4</v>
      </c>
      <c r="F333">
        <v>38</v>
      </c>
      <c r="G333" t="str">
        <f>VLOOKUP(A333,[1]inrix_key!$A:$C,3,FALSE)</f>
        <v>Wainwright_N</v>
      </c>
    </row>
    <row r="334" spans="1:7" hidden="1" x14ac:dyDescent="0.25">
      <c r="A334">
        <v>1187334983</v>
      </c>
      <c r="B334" t="s">
        <v>14</v>
      </c>
      <c r="C334" s="1" t="s">
        <v>341</v>
      </c>
      <c r="D334" s="1" t="s">
        <v>342</v>
      </c>
      <c r="E334" s="1" t="s">
        <v>343</v>
      </c>
      <c r="F334">
        <v>20</v>
      </c>
      <c r="G334" t="str">
        <f>VLOOKUP(A334,[1]inrix_key!$A:$C,3,FALSE)</f>
        <v>Wainwright_N</v>
      </c>
    </row>
    <row r="335" spans="1:7" hidden="1" x14ac:dyDescent="0.25">
      <c r="A335">
        <v>1187334983</v>
      </c>
      <c r="B335" t="s">
        <v>16</v>
      </c>
      <c r="C335">
        <v>-9.8391774891774905E-2</v>
      </c>
      <c r="D335">
        <v>-3.7934438857033999</v>
      </c>
      <c r="E335">
        <v>4.2600509123488896E-3</v>
      </c>
      <c r="F335">
        <v>10</v>
      </c>
      <c r="G335" t="str">
        <f>VLOOKUP(A335,[1]inrix_key!$A:$C,3,FALSE)</f>
        <v>Wainwright_N</v>
      </c>
    </row>
    <row r="336" spans="1:7" hidden="1" x14ac:dyDescent="0.25">
      <c r="A336">
        <v>1187334983</v>
      </c>
      <c r="B336" t="s">
        <v>19</v>
      </c>
      <c r="C336">
        <v>-5.39522058823528E-3</v>
      </c>
      <c r="D336">
        <v>-0.53891238656623897</v>
      </c>
      <c r="E336" s="1" t="s">
        <v>344</v>
      </c>
      <c r="F336">
        <v>8</v>
      </c>
      <c r="G336" t="str">
        <f>VLOOKUP(A336,[1]inrix_key!$A:$C,3,FALSE)</f>
        <v>Wainwright_N</v>
      </c>
    </row>
    <row r="337" spans="1:7" hidden="1" x14ac:dyDescent="0.25">
      <c r="A337">
        <v>1187334983</v>
      </c>
      <c r="B337" t="s">
        <v>21</v>
      </c>
      <c r="C337">
        <v>-2.0105839013927298E-3</v>
      </c>
      <c r="D337">
        <v>-0.30581537267472297</v>
      </c>
      <c r="E337" s="1" t="s">
        <v>345</v>
      </c>
      <c r="F337">
        <v>20</v>
      </c>
      <c r="G337" t="str">
        <f>VLOOKUP(A337,[1]inrix_key!$A:$C,3,FALSE)</f>
        <v>Wainwright_N</v>
      </c>
    </row>
    <row r="338" spans="1:7" hidden="1" x14ac:dyDescent="0.25">
      <c r="A338">
        <v>1187334983</v>
      </c>
      <c r="B338" t="s">
        <v>25</v>
      </c>
      <c r="C338">
        <v>-1.0889421616395299E-2</v>
      </c>
      <c r="D338">
        <v>-2.73546355394117</v>
      </c>
      <c r="E338">
        <v>9.5083972581394196E-3</v>
      </c>
      <c r="F338">
        <v>38</v>
      </c>
      <c r="G338" t="str">
        <f>VLOOKUP(A338,[1]inrix_key!$A:$C,3,FALSE)</f>
        <v>Wainwright_N</v>
      </c>
    </row>
    <row r="339" spans="1:7" hidden="1" x14ac:dyDescent="0.25">
      <c r="A339">
        <v>1187335042</v>
      </c>
      <c r="B339" t="s">
        <v>6</v>
      </c>
      <c r="C339">
        <v>9.06249999999999E-2</v>
      </c>
      <c r="D339" s="1" t="s">
        <v>346</v>
      </c>
      <c r="E339">
        <v>4.3904473140085496E-3</v>
      </c>
      <c r="F339">
        <v>20</v>
      </c>
      <c r="G339" t="str">
        <f>VLOOKUP(A339,[1]inrix_key!$A:$C,3,FALSE)</f>
        <v>Ustick_N</v>
      </c>
    </row>
    <row r="340" spans="1:7" hidden="1" x14ac:dyDescent="0.25">
      <c r="A340">
        <v>1187335042</v>
      </c>
      <c r="B340" t="s">
        <v>7</v>
      </c>
      <c r="C340">
        <v>-2.0119047619047599E-2</v>
      </c>
      <c r="D340">
        <v>-0.96434025970732895</v>
      </c>
      <c r="E340" s="1" t="s">
        <v>347</v>
      </c>
      <c r="F340">
        <v>7</v>
      </c>
      <c r="G340" t="str">
        <f>VLOOKUP(A340,[1]inrix_key!$A:$C,3,FALSE)</f>
        <v>Ustick_N</v>
      </c>
    </row>
    <row r="341" spans="1:7" hidden="1" x14ac:dyDescent="0.25">
      <c r="A341">
        <v>1187335042</v>
      </c>
      <c r="B341" t="s">
        <v>8</v>
      </c>
      <c r="C341">
        <v>-8.1249999999999906E-2</v>
      </c>
      <c r="D341">
        <v>-2.8594869723593002</v>
      </c>
      <c r="E341" s="1" t="s">
        <v>348</v>
      </c>
      <c r="F341">
        <v>8</v>
      </c>
      <c r="G341" t="str">
        <f>VLOOKUP(A341,[1]inrix_key!$A:$C,3,FALSE)</f>
        <v>Ustick_N</v>
      </c>
    </row>
    <row r="342" spans="1:7" hidden="1" x14ac:dyDescent="0.25">
      <c r="A342">
        <v>1187335042</v>
      </c>
      <c r="B342" t="s">
        <v>10</v>
      </c>
      <c r="C342">
        <v>-1.9078947368421001E-2</v>
      </c>
      <c r="D342">
        <v>-1.5443040829049699</v>
      </c>
      <c r="E342" s="1" t="s">
        <v>349</v>
      </c>
      <c r="F342">
        <v>19</v>
      </c>
      <c r="G342" t="str">
        <f>VLOOKUP(A342,[1]inrix_key!$A:$C,3,FALSE)</f>
        <v>Ustick_N</v>
      </c>
    </row>
    <row r="343" spans="1:7" hidden="1" x14ac:dyDescent="0.25">
      <c r="A343">
        <v>1187335042</v>
      </c>
      <c r="B343" t="s">
        <v>12</v>
      </c>
      <c r="C343">
        <v>-2.84561403508771E-2</v>
      </c>
      <c r="D343">
        <v>-3.5009551876165199</v>
      </c>
      <c r="E343">
        <v>1.22780367906566E-3</v>
      </c>
      <c r="F343">
        <v>38</v>
      </c>
      <c r="G343" t="str">
        <f>VLOOKUP(A343,[1]inrix_key!$A:$C,3,FALSE)</f>
        <v>Ustick_N</v>
      </c>
    </row>
    <row r="344" spans="1:7" hidden="1" x14ac:dyDescent="0.25">
      <c r="A344">
        <v>1187335042</v>
      </c>
      <c r="B344" t="s">
        <v>14</v>
      </c>
      <c r="C344" s="1" t="s">
        <v>350</v>
      </c>
      <c r="D344" s="1" t="s">
        <v>351</v>
      </c>
      <c r="E344" s="1" t="s">
        <v>352</v>
      </c>
      <c r="F344">
        <v>20</v>
      </c>
      <c r="G344" t="str">
        <f>VLOOKUP(A344,[1]inrix_key!$A:$C,3,FALSE)</f>
        <v>Ustick_N</v>
      </c>
    </row>
    <row r="345" spans="1:7" hidden="1" x14ac:dyDescent="0.25">
      <c r="A345">
        <v>1187335042</v>
      </c>
      <c r="B345" t="s">
        <v>16</v>
      </c>
      <c r="C345">
        <v>-5.5408491508491503E-2</v>
      </c>
      <c r="D345">
        <v>-3.91573140600237</v>
      </c>
      <c r="E345">
        <v>3.5338223445314501E-3</v>
      </c>
      <c r="F345">
        <v>10</v>
      </c>
      <c r="G345" t="str">
        <f>VLOOKUP(A345,[1]inrix_key!$A:$C,3,FALSE)</f>
        <v>Ustick_N</v>
      </c>
    </row>
    <row r="346" spans="1:7" hidden="1" x14ac:dyDescent="0.25">
      <c r="A346">
        <v>1187335042</v>
      </c>
      <c r="B346" t="s">
        <v>19</v>
      </c>
      <c r="C346">
        <v>8.0330882352941096E-3</v>
      </c>
      <c r="D346" s="1" t="s">
        <v>353</v>
      </c>
      <c r="E346" s="1" t="s">
        <v>354</v>
      </c>
      <c r="F346">
        <v>8</v>
      </c>
      <c r="G346" t="str">
        <f>VLOOKUP(A346,[1]inrix_key!$A:$C,3,FALSE)</f>
        <v>Ustick_N</v>
      </c>
    </row>
    <row r="347" spans="1:7" hidden="1" x14ac:dyDescent="0.25">
      <c r="A347">
        <v>1187335042</v>
      </c>
      <c r="B347" t="s">
        <v>21</v>
      </c>
      <c r="C347" s="1" t="s">
        <v>355</v>
      </c>
      <c r="D347" s="1" t="s">
        <v>356</v>
      </c>
      <c r="E347" s="1" t="s">
        <v>357</v>
      </c>
      <c r="F347">
        <v>20</v>
      </c>
      <c r="G347" t="str">
        <f>VLOOKUP(A347,[1]inrix_key!$A:$C,3,FALSE)</f>
        <v>Ustick_N</v>
      </c>
    </row>
    <row r="348" spans="1:7" hidden="1" x14ac:dyDescent="0.25">
      <c r="A348">
        <v>1187335042</v>
      </c>
      <c r="B348" t="s">
        <v>25</v>
      </c>
      <c r="C348">
        <v>-1.4907066381331E-2</v>
      </c>
      <c r="D348">
        <v>-2.5166700542315801</v>
      </c>
      <c r="E348" s="1" t="s">
        <v>358</v>
      </c>
      <c r="F348">
        <v>38</v>
      </c>
      <c r="G348" t="str">
        <f>VLOOKUP(A348,[1]inrix_key!$A:$C,3,FALSE)</f>
        <v>Ustick_N</v>
      </c>
    </row>
    <row r="349" spans="1:7" hidden="1" x14ac:dyDescent="0.25">
      <c r="A349">
        <v>1187377510</v>
      </c>
      <c r="B349" t="s">
        <v>6</v>
      </c>
      <c r="C349">
        <v>-5.9124999999999997E-2</v>
      </c>
      <c r="D349">
        <v>-5.1795311467060099</v>
      </c>
      <c r="E349" s="1" t="s">
        <v>359</v>
      </c>
      <c r="F349">
        <v>20</v>
      </c>
      <c r="G349" t="str">
        <f>VLOOKUP(A349,[1]inrix_key!$A:$C,3,FALSE)</f>
        <v>EB_S</v>
      </c>
    </row>
    <row r="350" spans="1:7" hidden="1" x14ac:dyDescent="0.25">
      <c r="A350">
        <v>1187377510</v>
      </c>
      <c r="B350" t="s">
        <v>8</v>
      </c>
      <c r="C350">
        <v>-8.4375000000000092E-3</v>
      </c>
      <c r="D350">
        <v>-0.17491057313774699</v>
      </c>
      <c r="E350" s="1" t="s">
        <v>360</v>
      </c>
      <c r="F350">
        <v>8</v>
      </c>
      <c r="G350" t="str">
        <f>VLOOKUP(A350,[1]inrix_key!$A:$C,3,FALSE)</f>
        <v>EB_S</v>
      </c>
    </row>
    <row r="351" spans="1:7" hidden="1" x14ac:dyDescent="0.25">
      <c r="A351">
        <v>1187377510</v>
      </c>
      <c r="B351" t="s">
        <v>10</v>
      </c>
      <c r="C351">
        <v>-1.8186274509803899E-2</v>
      </c>
      <c r="D351">
        <v>-1.45453990873081</v>
      </c>
      <c r="E351" s="1" t="s">
        <v>361</v>
      </c>
      <c r="F351">
        <v>17</v>
      </c>
      <c r="G351" t="str">
        <f>VLOOKUP(A351,[1]inrix_key!$A:$C,3,FALSE)</f>
        <v>EB_S</v>
      </c>
    </row>
    <row r="352" spans="1:7" hidden="1" x14ac:dyDescent="0.25">
      <c r="A352">
        <v>1187377510</v>
      </c>
      <c r="B352" t="s">
        <v>12</v>
      </c>
      <c r="C352">
        <v>-1.9144736842105201E-2</v>
      </c>
      <c r="D352">
        <v>-2.1155943012124201</v>
      </c>
      <c r="E352">
        <v>4.1172615823789102E-2</v>
      </c>
      <c r="F352">
        <v>38</v>
      </c>
      <c r="G352" t="str">
        <f>VLOOKUP(A352,[1]inrix_key!$A:$C,3,FALSE)</f>
        <v>EB_S</v>
      </c>
    </row>
    <row r="353" spans="1:7" hidden="1" x14ac:dyDescent="0.25">
      <c r="A353">
        <v>1187377510</v>
      </c>
      <c r="B353" t="s">
        <v>14</v>
      </c>
      <c r="C353">
        <v>-7.6836397058823502E-2</v>
      </c>
      <c r="D353">
        <v>-6.2138565395305303</v>
      </c>
      <c r="E353" s="1" t="s">
        <v>362</v>
      </c>
      <c r="F353">
        <v>20</v>
      </c>
      <c r="G353" t="str">
        <f>VLOOKUP(A353,[1]inrix_key!$A:$C,3,FALSE)</f>
        <v>EB_S</v>
      </c>
    </row>
    <row r="354" spans="1:7" hidden="1" x14ac:dyDescent="0.25">
      <c r="A354">
        <v>1187377510</v>
      </c>
      <c r="B354" t="s">
        <v>16</v>
      </c>
      <c r="C354">
        <v>-2.7808025308025202E-3</v>
      </c>
      <c r="D354">
        <v>-0.36863383341908601</v>
      </c>
      <c r="E354" s="1" t="s">
        <v>363</v>
      </c>
      <c r="F354">
        <v>10</v>
      </c>
      <c r="G354" t="str">
        <f>VLOOKUP(A354,[1]inrix_key!$A:$C,3,FALSE)</f>
        <v>EB_S</v>
      </c>
    </row>
    <row r="355" spans="1:7" hidden="1" x14ac:dyDescent="0.25">
      <c r="A355">
        <v>1187377510</v>
      </c>
      <c r="B355" t="s">
        <v>19</v>
      </c>
      <c r="C355">
        <v>-9.5013786764705899E-2</v>
      </c>
      <c r="D355">
        <v>-2.6366041723991702</v>
      </c>
      <c r="E355">
        <v>3.3588754388911603E-2</v>
      </c>
      <c r="F355">
        <v>8</v>
      </c>
      <c r="G355" t="str">
        <f>VLOOKUP(A355,[1]inrix_key!$A:$C,3,FALSE)</f>
        <v>EB_S</v>
      </c>
    </row>
    <row r="356" spans="1:7" hidden="1" x14ac:dyDescent="0.25">
      <c r="A356">
        <v>1187377510</v>
      </c>
      <c r="B356" t="s">
        <v>21</v>
      </c>
      <c r="C356">
        <v>-1.38006456907385E-2</v>
      </c>
      <c r="D356">
        <v>-2.1415250265692398</v>
      </c>
      <c r="E356">
        <v>4.6163103785426297E-2</v>
      </c>
      <c r="F356">
        <v>19</v>
      </c>
      <c r="G356" t="str">
        <f>VLOOKUP(A356,[1]inrix_key!$A:$C,3,FALSE)</f>
        <v>EB_S</v>
      </c>
    </row>
    <row r="357" spans="1:7" hidden="1" x14ac:dyDescent="0.25">
      <c r="A357">
        <v>1187377510</v>
      </c>
      <c r="B357" t="s">
        <v>25</v>
      </c>
      <c r="C357">
        <v>-3.2415367570166297E-2</v>
      </c>
      <c r="D357">
        <v>-4.0838475960331397</v>
      </c>
      <c r="E357">
        <v>2.2763406922665899E-4</v>
      </c>
      <c r="F357">
        <v>38</v>
      </c>
      <c r="G357" t="str">
        <f>VLOOKUP(A357,[1]inrix_key!$A:$C,3,FALSE)</f>
        <v>EB_S</v>
      </c>
    </row>
    <row r="358" spans="1:7" hidden="1" x14ac:dyDescent="0.25">
      <c r="A358">
        <v>1187466896</v>
      </c>
      <c r="B358" t="s">
        <v>6</v>
      </c>
      <c r="C358">
        <v>9.2374999999999902E-2</v>
      </c>
      <c r="D358" s="1" t="s">
        <v>364</v>
      </c>
      <c r="E358" s="1" t="s">
        <v>365</v>
      </c>
      <c r="F358">
        <v>20</v>
      </c>
      <c r="G358" t="str">
        <f>VLOOKUP(A358,[1]inrix_key!$A:$C,3,FALSE)</f>
        <v>IslandWood_S</v>
      </c>
    </row>
    <row r="359" spans="1:7" hidden="1" x14ac:dyDescent="0.25">
      <c r="A359">
        <v>1187466896</v>
      </c>
      <c r="B359" t="s">
        <v>7</v>
      </c>
      <c r="C359">
        <v>-1.2E-2</v>
      </c>
      <c r="D359">
        <v>-0.34067705576825702</v>
      </c>
      <c r="E359" s="1" t="s">
        <v>366</v>
      </c>
      <c r="F359">
        <v>10</v>
      </c>
      <c r="G359" t="str">
        <f>VLOOKUP(A359,[1]inrix_key!$A:$C,3,FALSE)</f>
        <v>IslandWood_S</v>
      </c>
    </row>
    <row r="360" spans="1:7" hidden="1" x14ac:dyDescent="0.25">
      <c r="A360">
        <v>1187466896</v>
      </c>
      <c r="B360" t="s">
        <v>8</v>
      </c>
      <c r="C360">
        <v>0.69343750000000004</v>
      </c>
      <c r="D360" s="1" t="s">
        <v>367</v>
      </c>
      <c r="E360">
        <v>4.1254168689545201E-3</v>
      </c>
      <c r="F360">
        <v>8</v>
      </c>
      <c r="G360" t="str">
        <f>VLOOKUP(A360,[1]inrix_key!$A:$C,3,FALSE)</f>
        <v>IslandWood_S</v>
      </c>
    </row>
    <row r="361" spans="1:7" hidden="1" x14ac:dyDescent="0.25">
      <c r="A361">
        <v>1187466896</v>
      </c>
      <c r="B361" t="s">
        <v>10</v>
      </c>
      <c r="C361">
        <v>-0.10444444444444401</v>
      </c>
      <c r="D361">
        <v>-3.8415612065798301</v>
      </c>
      <c r="E361">
        <v>1.30740766302326E-3</v>
      </c>
      <c r="F361">
        <v>18</v>
      </c>
      <c r="G361" t="str">
        <f>VLOOKUP(A361,[1]inrix_key!$A:$C,3,FALSE)</f>
        <v>IslandWood_S</v>
      </c>
    </row>
    <row r="362" spans="1:7" hidden="1" x14ac:dyDescent="0.25">
      <c r="A362">
        <v>1187466896</v>
      </c>
      <c r="B362" t="s">
        <v>12</v>
      </c>
      <c r="C362">
        <v>-3.11754385964912E-2</v>
      </c>
      <c r="D362">
        <v>-1.3638917509789701</v>
      </c>
      <c r="E362" s="1" t="s">
        <v>368</v>
      </c>
      <c r="F362">
        <v>38</v>
      </c>
      <c r="G362" t="str">
        <f>VLOOKUP(A362,[1]inrix_key!$A:$C,3,FALSE)</f>
        <v>IslandWood_S</v>
      </c>
    </row>
    <row r="363" spans="1:7" hidden="1" x14ac:dyDescent="0.25">
      <c r="A363">
        <v>1187466896</v>
      </c>
      <c r="B363" t="s">
        <v>14</v>
      </c>
      <c r="C363">
        <v>8.1869485294117597E-2</v>
      </c>
      <c r="D363" s="1" t="s">
        <v>369</v>
      </c>
      <c r="E363" s="1" t="s">
        <v>370</v>
      </c>
      <c r="F363">
        <v>20</v>
      </c>
      <c r="G363" t="str">
        <f>VLOOKUP(A363,[1]inrix_key!$A:$C,3,FALSE)</f>
        <v>IslandWood_S</v>
      </c>
    </row>
    <row r="364" spans="1:7" hidden="1" x14ac:dyDescent="0.25">
      <c r="A364">
        <v>1187466896</v>
      </c>
      <c r="B364" t="s">
        <v>16</v>
      </c>
      <c r="C364">
        <v>-7.9739919802419804E-2</v>
      </c>
      <c r="D364">
        <v>-5.6186949475696499</v>
      </c>
      <c r="E364">
        <v>3.26375665064509E-4</v>
      </c>
      <c r="F364">
        <v>10</v>
      </c>
      <c r="G364" t="str">
        <f>VLOOKUP(A364,[1]inrix_key!$A:$C,3,FALSE)</f>
        <v>IslandWood_S</v>
      </c>
    </row>
    <row r="365" spans="1:7" hidden="1" x14ac:dyDescent="0.25">
      <c r="A365">
        <v>1187466896</v>
      </c>
      <c r="B365" t="s">
        <v>19</v>
      </c>
      <c r="C365" s="1" t="s">
        <v>371</v>
      </c>
      <c r="D365" s="1" t="s">
        <v>372</v>
      </c>
      <c r="E365">
        <v>7.8569883155778605E-2</v>
      </c>
      <c r="F365">
        <v>8</v>
      </c>
      <c r="G365" t="str">
        <f>VLOOKUP(A365,[1]inrix_key!$A:$C,3,FALSE)</f>
        <v>IslandWood_S</v>
      </c>
    </row>
    <row r="366" spans="1:7" hidden="1" x14ac:dyDescent="0.25">
      <c r="A366">
        <v>1187466896</v>
      </c>
      <c r="B366" t="s">
        <v>21</v>
      </c>
      <c r="C366">
        <v>-7.3475788916965296E-2</v>
      </c>
      <c r="D366">
        <v>-3.9850142831955502</v>
      </c>
      <c r="E366">
        <v>7.9287442168946302E-4</v>
      </c>
      <c r="F366">
        <v>20</v>
      </c>
      <c r="G366" t="str">
        <f>VLOOKUP(A366,[1]inrix_key!$A:$C,3,FALSE)</f>
        <v>IslandWood_S</v>
      </c>
    </row>
    <row r="367" spans="1:7" hidden="1" x14ac:dyDescent="0.25">
      <c r="A367">
        <v>1187466896</v>
      </c>
      <c r="B367" t="s">
        <v>25</v>
      </c>
      <c r="C367">
        <v>1.5689247865137899E-2</v>
      </c>
      <c r="D367" s="1" t="s">
        <v>373</v>
      </c>
      <c r="E367" s="1" t="s">
        <v>374</v>
      </c>
      <c r="F367">
        <v>38</v>
      </c>
      <c r="G367" t="str">
        <f>VLOOKUP(A367,[1]inrix_key!$A:$C,3,FALSE)</f>
        <v>IslandWood_S</v>
      </c>
    </row>
    <row r="368" spans="1:7" hidden="1" x14ac:dyDescent="0.25">
      <c r="A368">
        <v>1187466917</v>
      </c>
      <c r="B368" t="s">
        <v>6</v>
      </c>
      <c r="C368">
        <v>8.4249999999999894E-2</v>
      </c>
      <c r="D368" s="1" t="s">
        <v>375</v>
      </c>
      <c r="E368" s="1" t="s">
        <v>376</v>
      </c>
      <c r="F368">
        <v>20</v>
      </c>
      <c r="G368" t="str">
        <f>VLOOKUP(A368,[1]inrix_key!$A:$C,3,FALSE)</f>
        <v>Colchester_S</v>
      </c>
    </row>
    <row r="369" spans="1:7" hidden="1" x14ac:dyDescent="0.25">
      <c r="A369">
        <v>1187466917</v>
      </c>
      <c r="B369" t="s">
        <v>7</v>
      </c>
      <c r="C369">
        <v>-0.24533333333333299</v>
      </c>
      <c r="D369">
        <v>-3.51266299847713</v>
      </c>
      <c r="E369">
        <v>6.5909794288470103E-3</v>
      </c>
      <c r="F369">
        <v>10</v>
      </c>
      <c r="G369" t="str">
        <f>VLOOKUP(A369,[1]inrix_key!$A:$C,3,FALSE)</f>
        <v>Colchester_S</v>
      </c>
    </row>
    <row r="370" spans="1:7" hidden="1" x14ac:dyDescent="0.25">
      <c r="A370">
        <v>1187466917</v>
      </c>
      <c r="B370" t="s">
        <v>8</v>
      </c>
      <c r="C370" s="1" t="s">
        <v>377</v>
      </c>
      <c r="D370" s="1" t="s">
        <v>378</v>
      </c>
      <c r="E370">
        <v>8.3778461366334801E-3</v>
      </c>
      <c r="F370">
        <v>8</v>
      </c>
      <c r="G370" t="str">
        <f>VLOOKUP(A370,[1]inrix_key!$A:$C,3,FALSE)</f>
        <v>Colchester_S</v>
      </c>
    </row>
    <row r="371" spans="1:7" hidden="1" x14ac:dyDescent="0.25">
      <c r="A371">
        <v>1187466917</v>
      </c>
      <c r="B371" t="s">
        <v>10</v>
      </c>
      <c r="C371">
        <v>-8.4444444444444405E-2</v>
      </c>
      <c r="D371">
        <v>-4.0250209961038799</v>
      </c>
      <c r="E371">
        <v>8.7828722184543704E-4</v>
      </c>
      <c r="F371">
        <v>18</v>
      </c>
      <c r="G371" t="str">
        <f>VLOOKUP(A371,[1]inrix_key!$A:$C,3,FALSE)</f>
        <v>Colchester_S</v>
      </c>
    </row>
    <row r="372" spans="1:7" hidden="1" x14ac:dyDescent="0.25">
      <c r="A372">
        <v>1187466917</v>
      </c>
      <c r="B372" t="s">
        <v>12</v>
      </c>
      <c r="C372">
        <v>-2.6587719298245601E-2</v>
      </c>
      <c r="D372">
        <v>-1.13116309852543</v>
      </c>
      <c r="E372" s="1" t="s">
        <v>379</v>
      </c>
      <c r="F372">
        <v>38</v>
      </c>
      <c r="G372" t="str">
        <f>VLOOKUP(A372,[1]inrix_key!$A:$C,3,FALSE)</f>
        <v>Colchester_S</v>
      </c>
    </row>
    <row r="373" spans="1:7" hidden="1" x14ac:dyDescent="0.25">
      <c r="A373">
        <v>1187466917</v>
      </c>
      <c r="B373" t="s">
        <v>14</v>
      </c>
      <c r="C373">
        <v>8.8854779411764701E-2</v>
      </c>
      <c r="D373" s="1" t="s">
        <v>380</v>
      </c>
      <c r="E373" s="1" t="s">
        <v>381</v>
      </c>
      <c r="F373">
        <v>20</v>
      </c>
      <c r="G373" t="str">
        <f>VLOOKUP(A373,[1]inrix_key!$A:$C,3,FALSE)</f>
        <v>Colchester_S</v>
      </c>
    </row>
    <row r="374" spans="1:7" hidden="1" x14ac:dyDescent="0.25">
      <c r="A374">
        <v>1187466917</v>
      </c>
      <c r="B374" t="s">
        <v>16</v>
      </c>
      <c r="C374">
        <v>-0.149459257409257</v>
      </c>
      <c r="D374">
        <v>-4.0023434096178496</v>
      </c>
      <c r="E374">
        <v>3.0994522213723002E-3</v>
      </c>
      <c r="F374">
        <v>10</v>
      </c>
      <c r="G374" t="str">
        <f>VLOOKUP(A374,[1]inrix_key!$A:$C,3,FALSE)</f>
        <v>Colchester_S</v>
      </c>
    </row>
    <row r="375" spans="1:7" hidden="1" x14ac:dyDescent="0.25">
      <c r="A375">
        <v>1187466917</v>
      </c>
      <c r="B375" t="s">
        <v>19</v>
      </c>
      <c r="C375">
        <v>-1.9958639705882301E-2</v>
      </c>
      <c r="D375">
        <v>-1.21460210827721</v>
      </c>
      <c r="E375" s="1" t="s">
        <v>382</v>
      </c>
      <c r="F375">
        <v>8</v>
      </c>
      <c r="G375" t="str">
        <f>VLOOKUP(A375,[1]inrix_key!$A:$C,3,FALSE)</f>
        <v>Colchester_S</v>
      </c>
    </row>
    <row r="376" spans="1:7" hidden="1" x14ac:dyDescent="0.25">
      <c r="A376">
        <v>1187466917</v>
      </c>
      <c r="B376" t="s">
        <v>21</v>
      </c>
      <c r="C376">
        <v>-6.7526864557011596E-2</v>
      </c>
      <c r="D376">
        <v>-3.58069004635558</v>
      </c>
      <c r="E376">
        <v>1.9941417869780501E-3</v>
      </c>
      <c r="F376">
        <v>20</v>
      </c>
      <c r="G376" t="str">
        <f>VLOOKUP(A376,[1]inrix_key!$A:$C,3,FALSE)</f>
        <v>Colchester_S</v>
      </c>
    </row>
    <row r="377" spans="1:7" hidden="1" x14ac:dyDescent="0.25">
      <c r="A377">
        <v>1187466917</v>
      </c>
      <c r="B377" t="s">
        <v>25</v>
      </c>
      <c r="C377">
        <v>4.1938755259188602E-3</v>
      </c>
      <c r="D377" s="1" t="s">
        <v>383</v>
      </c>
      <c r="E377" s="1" t="s">
        <v>384</v>
      </c>
      <c r="F377">
        <v>38</v>
      </c>
      <c r="G377" t="str">
        <f>VLOOKUP(A377,[1]inrix_key!$A:$C,3,FALSE)</f>
        <v>Colchester_S</v>
      </c>
    </row>
    <row r="378" spans="1:7" hidden="1" x14ac:dyDescent="0.25">
      <c r="A378">
        <v>1187517040</v>
      </c>
      <c r="B378" t="s">
        <v>6</v>
      </c>
      <c r="C378">
        <v>-2.8749999999999901E-2</v>
      </c>
      <c r="D378">
        <v>-2.3644707639443601</v>
      </c>
      <c r="E378" s="1" t="s">
        <v>385</v>
      </c>
      <c r="F378">
        <v>20</v>
      </c>
      <c r="G378" t="str">
        <f>VLOOKUP(A378,[1]inrix_key!$A:$C,3,FALSE)</f>
        <v>Wainwright_S</v>
      </c>
    </row>
    <row r="379" spans="1:7" hidden="1" x14ac:dyDescent="0.25">
      <c r="A379">
        <v>1187517040</v>
      </c>
      <c r="B379" t="s">
        <v>7</v>
      </c>
      <c r="C379" s="1" t="s">
        <v>386</v>
      </c>
      <c r="D379" s="1" t="s">
        <v>387</v>
      </c>
      <c r="E379">
        <v>5.7782525485230597E-3</v>
      </c>
      <c r="F379">
        <v>10</v>
      </c>
      <c r="G379" t="str">
        <f>VLOOKUP(A379,[1]inrix_key!$A:$C,3,FALSE)</f>
        <v>Wainwright_S</v>
      </c>
    </row>
    <row r="380" spans="1:7" hidden="1" x14ac:dyDescent="0.25">
      <c r="A380">
        <v>1187517040</v>
      </c>
      <c r="B380" t="s">
        <v>8</v>
      </c>
      <c r="C380">
        <v>1.0625000000000001E-2</v>
      </c>
      <c r="D380" s="1" t="s">
        <v>388</v>
      </c>
      <c r="E380" s="1" t="s">
        <v>389</v>
      </c>
      <c r="F380">
        <v>8</v>
      </c>
      <c r="G380" t="str">
        <f>VLOOKUP(A380,[1]inrix_key!$A:$C,3,FALSE)</f>
        <v>Wainwright_S</v>
      </c>
    </row>
    <row r="381" spans="1:7" hidden="1" x14ac:dyDescent="0.25">
      <c r="A381">
        <v>1187517040</v>
      </c>
      <c r="B381" t="s">
        <v>10</v>
      </c>
      <c r="C381">
        <v>-1.8421052631578899E-3</v>
      </c>
      <c r="D381">
        <v>-0.19149356345749599</v>
      </c>
      <c r="E381" s="1" t="s">
        <v>390</v>
      </c>
      <c r="F381">
        <v>19</v>
      </c>
      <c r="G381" t="str">
        <f>VLOOKUP(A381,[1]inrix_key!$A:$C,3,FALSE)</f>
        <v>Wainwright_S</v>
      </c>
    </row>
    <row r="382" spans="1:7" hidden="1" x14ac:dyDescent="0.25">
      <c r="A382">
        <v>1187517040</v>
      </c>
      <c r="B382" t="s">
        <v>12</v>
      </c>
      <c r="C382">
        <v>1.1824561403508699E-2</v>
      </c>
      <c r="D382" s="1" t="s">
        <v>391</v>
      </c>
      <c r="E382">
        <v>7.53750089011965E-2</v>
      </c>
      <c r="F382">
        <v>38</v>
      </c>
      <c r="G382" t="str">
        <f>VLOOKUP(A382,[1]inrix_key!$A:$C,3,FALSE)</f>
        <v>Wainwright_S</v>
      </c>
    </row>
    <row r="383" spans="1:7" hidden="1" x14ac:dyDescent="0.25">
      <c r="A383">
        <v>1187517040</v>
      </c>
      <c r="B383" t="s">
        <v>14</v>
      </c>
      <c r="C383">
        <v>-4.4121323529411699E-2</v>
      </c>
      <c r="D383">
        <v>-2.2268106826463998</v>
      </c>
      <c r="E383" s="1" t="s">
        <v>392</v>
      </c>
      <c r="F383">
        <v>20</v>
      </c>
      <c r="G383" t="str">
        <f>VLOOKUP(A383,[1]inrix_key!$A:$C,3,FALSE)</f>
        <v>Wainwright_S</v>
      </c>
    </row>
    <row r="384" spans="1:7" hidden="1" x14ac:dyDescent="0.25">
      <c r="A384">
        <v>1187517040</v>
      </c>
      <c r="B384" t="s">
        <v>16</v>
      </c>
      <c r="C384" s="1" t="s">
        <v>393</v>
      </c>
      <c r="D384" s="1" t="s">
        <v>394</v>
      </c>
      <c r="E384">
        <v>8.2583998577448497E-2</v>
      </c>
      <c r="F384">
        <v>10</v>
      </c>
      <c r="G384" t="str">
        <f>VLOOKUP(A384,[1]inrix_key!$A:$C,3,FALSE)</f>
        <v>Wainwright_S</v>
      </c>
    </row>
    <row r="385" spans="1:7" hidden="1" x14ac:dyDescent="0.25">
      <c r="A385">
        <v>1187517040</v>
      </c>
      <c r="B385" t="s">
        <v>19</v>
      </c>
      <c r="C385">
        <v>-1.36075367647058E-2</v>
      </c>
      <c r="D385">
        <v>-1.4948609470399601</v>
      </c>
      <c r="E385" s="1" t="s">
        <v>395</v>
      </c>
      <c r="F385">
        <v>8</v>
      </c>
      <c r="G385" t="str">
        <f>VLOOKUP(A385,[1]inrix_key!$A:$C,3,FALSE)</f>
        <v>Wainwright_S</v>
      </c>
    </row>
    <row r="386" spans="1:7" hidden="1" x14ac:dyDescent="0.25">
      <c r="A386">
        <v>1187517040</v>
      </c>
      <c r="B386" t="s">
        <v>21</v>
      </c>
      <c r="C386" s="1" t="s">
        <v>396</v>
      </c>
      <c r="D386" s="1" t="s">
        <v>397</v>
      </c>
      <c r="E386" s="1" t="s">
        <v>398</v>
      </c>
      <c r="F386">
        <v>20</v>
      </c>
      <c r="G386" t="str">
        <f>VLOOKUP(A386,[1]inrix_key!$A:$C,3,FALSE)</f>
        <v>Wainwright_S</v>
      </c>
    </row>
    <row r="387" spans="1:7" hidden="1" x14ac:dyDescent="0.25">
      <c r="A387">
        <v>1187517040</v>
      </c>
      <c r="B387" t="s">
        <v>25</v>
      </c>
      <c r="C387">
        <v>-4.2479820875718699E-3</v>
      </c>
      <c r="D387">
        <v>-0.67301959286523005</v>
      </c>
      <c r="E387" s="1" t="s">
        <v>399</v>
      </c>
      <c r="F387">
        <v>38</v>
      </c>
      <c r="G387" t="str">
        <f>VLOOKUP(A387,[1]inrix_key!$A:$C,3,FALSE)</f>
        <v>Wainwright_S</v>
      </c>
    </row>
    <row r="388" spans="1:7" hidden="1" x14ac:dyDescent="0.25">
      <c r="A388">
        <v>1187532837</v>
      </c>
      <c r="B388" t="s">
        <v>6</v>
      </c>
      <c r="C388" s="1" t="s">
        <v>400</v>
      </c>
      <c r="D388" s="1" t="s">
        <v>401</v>
      </c>
      <c r="E388">
        <v>4.8688692742643598E-2</v>
      </c>
      <c r="F388">
        <v>20</v>
      </c>
      <c r="G388" t="str">
        <f>VLOOKUP(A388,[1]inrix_key!$A:$C,3,FALSE)</f>
        <v>HobbleCreek_N</v>
      </c>
    </row>
    <row r="389" spans="1:7" hidden="1" x14ac:dyDescent="0.25">
      <c r="A389">
        <v>1187532837</v>
      </c>
      <c r="B389" t="s">
        <v>7</v>
      </c>
      <c r="C389">
        <v>-4.8571428571428502E-2</v>
      </c>
      <c r="D389">
        <v>-2.6643723190346198</v>
      </c>
      <c r="E389">
        <v>3.7305655773081002E-2</v>
      </c>
      <c r="F389">
        <v>7</v>
      </c>
      <c r="G389" t="str">
        <f>VLOOKUP(A389,[1]inrix_key!$A:$C,3,FALSE)</f>
        <v>HobbleCreek_N</v>
      </c>
    </row>
    <row r="390" spans="1:7" hidden="1" x14ac:dyDescent="0.25">
      <c r="A390">
        <v>1187532837</v>
      </c>
      <c r="B390" t="s">
        <v>8</v>
      </c>
      <c r="C390">
        <v>-7.8124999999999801E-3</v>
      </c>
      <c r="D390">
        <v>-0.678228347619801</v>
      </c>
      <c r="E390" s="1" t="s">
        <v>402</v>
      </c>
      <c r="F390">
        <v>8</v>
      </c>
      <c r="G390" t="str">
        <f>VLOOKUP(A390,[1]inrix_key!$A:$C,3,FALSE)</f>
        <v>HobbleCreek_N</v>
      </c>
    </row>
    <row r="391" spans="1:7" hidden="1" x14ac:dyDescent="0.25">
      <c r="A391">
        <v>1187532837</v>
      </c>
      <c r="B391" t="s">
        <v>10</v>
      </c>
      <c r="C391">
        <v>-2.2058823529411699E-3</v>
      </c>
      <c r="D391">
        <v>-0.30450968584587501</v>
      </c>
      <c r="E391" s="1" t="s">
        <v>403</v>
      </c>
      <c r="F391">
        <v>17</v>
      </c>
      <c r="G391" t="str">
        <f>VLOOKUP(A391,[1]inrix_key!$A:$C,3,FALSE)</f>
        <v>HobbleCreek_N</v>
      </c>
    </row>
    <row r="392" spans="1:7" hidden="1" x14ac:dyDescent="0.25">
      <c r="A392">
        <v>1187532837</v>
      </c>
      <c r="B392" t="s">
        <v>12</v>
      </c>
      <c r="C392">
        <v>-4.75657894736842E-2</v>
      </c>
      <c r="D392">
        <v>-3.3276048873311401</v>
      </c>
      <c r="E392">
        <v>1.9891566490737901E-3</v>
      </c>
      <c r="F392">
        <v>38</v>
      </c>
      <c r="G392" t="str">
        <f>VLOOKUP(A392,[1]inrix_key!$A:$C,3,FALSE)</f>
        <v>HobbleCreek_N</v>
      </c>
    </row>
    <row r="393" spans="1:7" hidden="1" x14ac:dyDescent="0.25">
      <c r="A393">
        <v>1187532837</v>
      </c>
      <c r="B393" t="s">
        <v>14</v>
      </c>
      <c r="C393">
        <v>1.5349264705882199E-3</v>
      </c>
      <c r="D393" s="1" t="s">
        <v>404</v>
      </c>
      <c r="E393">
        <v>0.76236136268135601</v>
      </c>
      <c r="F393">
        <v>20</v>
      </c>
      <c r="G393" t="str">
        <f>VLOOKUP(A393,[1]inrix_key!$A:$C,3,FALSE)</f>
        <v>HobbleCreek_N</v>
      </c>
    </row>
    <row r="394" spans="1:7" hidden="1" x14ac:dyDescent="0.25">
      <c r="A394">
        <v>1187532837</v>
      </c>
      <c r="B394" t="s">
        <v>16</v>
      </c>
      <c r="C394">
        <v>-7.2306185481185406E-2</v>
      </c>
      <c r="D394">
        <v>-3.9483617008367302</v>
      </c>
      <c r="E394">
        <v>3.36305058836576E-3</v>
      </c>
      <c r="F394">
        <v>10</v>
      </c>
      <c r="G394" t="str">
        <f>VLOOKUP(A394,[1]inrix_key!$A:$C,3,FALSE)</f>
        <v>HobbleCreek_N</v>
      </c>
    </row>
    <row r="395" spans="1:7" hidden="1" x14ac:dyDescent="0.25">
      <c r="A395">
        <v>1187532837</v>
      </c>
      <c r="B395" t="s">
        <v>19</v>
      </c>
      <c r="C395">
        <v>-7.7573529411764496E-3</v>
      </c>
      <c r="D395">
        <v>-1.79937198329181</v>
      </c>
      <c r="E395" s="1" t="s">
        <v>405</v>
      </c>
      <c r="F395">
        <v>8</v>
      </c>
      <c r="G395" t="str">
        <f>VLOOKUP(A395,[1]inrix_key!$A:$C,3,FALSE)</f>
        <v>HobbleCreek_N</v>
      </c>
    </row>
    <row r="396" spans="1:7" hidden="1" x14ac:dyDescent="0.25">
      <c r="A396">
        <v>1187532837</v>
      </c>
      <c r="B396" t="s">
        <v>21</v>
      </c>
      <c r="C396" s="1" t="s">
        <v>406</v>
      </c>
      <c r="D396" s="1" t="s">
        <v>407</v>
      </c>
      <c r="E396">
        <v>5.3402924552253199E-2</v>
      </c>
      <c r="F396">
        <v>20</v>
      </c>
      <c r="G396" t="str">
        <f>VLOOKUP(A396,[1]inrix_key!$A:$C,3,FALSE)</f>
        <v>HobbleCreek_N</v>
      </c>
    </row>
    <row r="397" spans="1:7" hidden="1" x14ac:dyDescent="0.25">
      <c r="A397">
        <v>1187532837</v>
      </c>
      <c r="B397" t="s">
        <v>25</v>
      </c>
      <c r="C397">
        <v>-1.3572344687476199E-2</v>
      </c>
      <c r="D397">
        <v>-4.0861170664364304</v>
      </c>
      <c r="E397">
        <v>2.2610918089130001E-4</v>
      </c>
      <c r="F397">
        <v>38</v>
      </c>
      <c r="G397" t="str">
        <f>VLOOKUP(A397,[1]inrix_key!$A:$C,3,FALSE)</f>
        <v>HobbleCreek_N</v>
      </c>
    </row>
    <row r="398" spans="1:7" hidden="1" x14ac:dyDescent="0.25">
      <c r="A398">
        <v>1187548947</v>
      </c>
      <c r="B398" t="s">
        <v>6</v>
      </c>
      <c r="C398">
        <v>-4.6875E-2</v>
      </c>
      <c r="D398">
        <v>-3.9828311742322802</v>
      </c>
      <c r="E398">
        <v>7.9683826422772197E-4</v>
      </c>
      <c r="F398">
        <v>20</v>
      </c>
      <c r="G398" t="str">
        <f>VLOOKUP(A398,[1]inrix_key!$A:$C,3,FALSE)</f>
        <v>Fairview_S</v>
      </c>
    </row>
    <row r="399" spans="1:7" hidden="1" x14ac:dyDescent="0.25">
      <c r="A399">
        <v>1187548947</v>
      </c>
      <c r="B399" t="s">
        <v>7</v>
      </c>
      <c r="C399">
        <v>4.5092592592592497E-2</v>
      </c>
      <c r="D399" s="1" t="s">
        <v>408</v>
      </c>
      <c r="E399">
        <v>1.3695501661272299E-4</v>
      </c>
      <c r="F399">
        <v>9</v>
      </c>
      <c r="G399" t="str">
        <f>VLOOKUP(A399,[1]inrix_key!$A:$C,3,FALSE)</f>
        <v>Fairview_S</v>
      </c>
    </row>
    <row r="400" spans="1:7" hidden="1" x14ac:dyDescent="0.25">
      <c r="A400">
        <v>1187548947</v>
      </c>
      <c r="B400" t="s">
        <v>8</v>
      </c>
      <c r="C400">
        <v>-0.38374999999999898</v>
      </c>
      <c r="D400">
        <v>-4.3949495389388096</v>
      </c>
      <c r="E400">
        <v>3.1762569505942501E-3</v>
      </c>
      <c r="F400">
        <v>8</v>
      </c>
      <c r="G400" t="str">
        <f>VLOOKUP(A400,[1]inrix_key!$A:$C,3,FALSE)</f>
        <v>Fairview_S</v>
      </c>
    </row>
    <row r="401" spans="1:7" hidden="1" x14ac:dyDescent="0.25">
      <c r="A401">
        <v>1187548947</v>
      </c>
      <c r="B401" t="s">
        <v>10</v>
      </c>
      <c r="C401">
        <v>-2.2874999999999899E-2</v>
      </c>
      <c r="D401">
        <v>-1.18196588371161</v>
      </c>
      <c r="E401" s="1" t="s">
        <v>409</v>
      </c>
      <c r="F401">
        <v>20</v>
      </c>
      <c r="G401" t="str">
        <f>VLOOKUP(A401,[1]inrix_key!$A:$C,3,FALSE)</f>
        <v>Fairview_S</v>
      </c>
    </row>
    <row r="402" spans="1:7" hidden="1" x14ac:dyDescent="0.25">
      <c r="A402">
        <v>1187548947</v>
      </c>
      <c r="B402" t="s">
        <v>12</v>
      </c>
      <c r="C402">
        <v>-4.1271929824561304E-3</v>
      </c>
      <c r="D402">
        <v>-0.46294989263619801</v>
      </c>
      <c r="E402" s="1" t="s">
        <v>410</v>
      </c>
      <c r="F402">
        <v>38</v>
      </c>
      <c r="G402" t="str">
        <f>VLOOKUP(A402,[1]inrix_key!$A:$C,3,FALSE)</f>
        <v>Fairview_S</v>
      </c>
    </row>
    <row r="403" spans="1:7" hidden="1" x14ac:dyDescent="0.25">
      <c r="A403">
        <v>1187548947</v>
      </c>
      <c r="B403" t="s">
        <v>14</v>
      </c>
      <c r="C403">
        <v>-6.6621323529411705E-2</v>
      </c>
      <c r="D403">
        <v>-7.2822808945302002</v>
      </c>
      <c r="E403" s="1" t="s">
        <v>411</v>
      </c>
      <c r="F403">
        <v>20</v>
      </c>
      <c r="G403" t="str">
        <f>VLOOKUP(A403,[1]inrix_key!$A:$C,3,FALSE)</f>
        <v>Fairview_S</v>
      </c>
    </row>
    <row r="404" spans="1:7" hidden="1" x14ac:dyDescent="0.25">
      <c r="A404">
        <v>1187548947</v>
      </c>
      <c r="B404" t="s">
        <v>16</v>
      </c>
      <c r="C404">
        <v>3.62554806304803E-3</v>
      </c>
      <c r="D404" s="1" t="s">
        <v>412</v>
      </c>
      <c r="E404" s="1" t="s">
        <v>413</v>
      </c>
      <c r="F404">
        <v>10</v>
      </c>
      <c r="G404" t="str">
        <f>VLOOKUP(A404,[1]inrix_key!$A:$C,3,FALSE)</f>
        <v>Fairview_S</v>
      </c>
    </row>
    <row r="405" spans="1:7" hidden="1" x14ac:dyDescent="0.25">
      <c r="A405">
        <v>1187548947</v>
      </c>
      <c r="B405" t="s">
        <v>19</v>
      </c>
      <c r="C405">
        <v>-0.12539981617647</v>
      </c>
      <c r="D405">
        <v>-9.1257420173508397</v>
      </c>
      <c r="E405" s="1" t="s">
        <v>414</v>
      </c>
      <c r="F405">
        <v>8</v>
      </c>
      <c r="G405" t="str">
        <f>VLOOKUP(A405,[1]inrix_key!$A:$C,3,FALSE)</f>
        <v>Fairview_S</v>
      </c>
    </row>
    <row r="406" spans="1:7" hidden="1" x14ac:dyDescent="0.25">
      <c r="A406">
        <v>1187548947</v>
      </c>
      <c r="B406" t="s">
        <v>21</v>
      </c>
      <c r="C406">
        <v>-3.2235288934921197E-2</v>
      </c>
      <c r="D406">
        <v>-3.0479708553338698</v>
      </c>
      <c r="E406">
        <v>6.6187218741577897E-3</v>
      </c>
      <c r="F406">
        <v>20</v>
      </c>
      <c r="G406" t="str">
        <f>VLOOKUP(A406,[1]inrix_key!$A:$C,3,FALSE)</f>
        <v>Fairview_S</v>
      </c>
    </row>
    <row r="407" spans="1:7" hidden="1" x14ac:dyDescent="0.25">
      <c r="A407">
        <v>1187548947</v>
      </c>
      <c r="B407" t="s">
        <v>25</v>
      </c>
      <c r="C407">
        <v>-1.13368237369785E-2</v>
      </c>
      <c r="D407">
        <v>-1.7655192543856699</v>
      </c>
      <c r="E407">
        <v>8.5728629430811804E-2</v>
      </c>
      <c r="F407">
        <v>38</v>
      </c>
      <c r="G407" t="str">
        <f>VLOOKUP(A407,[1]inrix_key!$A:$C,3,FALSE)</f>
        <v>Fairview_S</v>
      </c>
    </row>
    <row r="408" spans="1:7" hidden="1" x14ac:dyDescent="0.25">
      <c r="A408">
        <v>1187548975</v>
      </c>
      <c r="B408" t="s">
        <v>6</v>
      </c>
      <c r="C408">
        <v>9.8875000000000005E-2</v>
      </c>
      <c r="D408" s="1" t="s">
        <v>415</v>
      </c>
      <c r="E408" s="1" t="s">
        <v>416</v>
      </c>
      <c r="F408">
        <v>20</v>
      </c>
      <c r="G408" t="str">
        <f>VLOOKUP(A408,[1]inrix_key!$A:$C,3,FALSE)</f>
        <v>Pine_S</v>
      </c>
    </row>
    <row r="409" spans="1:7" hidden="1" x14ac:dyDescent="0.25">
      <c r="A409">
        <v>1187548975</v>
      </c>
      <c r="B409" t="s">
        <v>7</v>
      </c>
      <c r="C409">
        <v>-4.87037037037037E-2</v>
      </c>
      <c r="D409">
        <v>-2.27906989440981</v>
      </c>
      <c r="E409">
        <v>5.21469744634964E-2</v>
      </c>
      <c r="F409">
        <v>9</v>
      </c>
      <c r="G409" t="str">
        <f>VLOOKUP(A409,[1]inrix_key!$A:$C,3,FALSE)</f>
        <v>Pine_S</v>
      </c>
    </row>
    <row r="410" spans="1:7" hidden="1" x14ac:dyDescent="0.25">
      <c r="A410">
        <v>1187548975</v>
      </c>
      <c r="B410" t="s">
        <v>8</v>
      </c>
      <c r="C410">
        <v>3.4062500000000002E-2</v>
      </c>
      <c r="D410">
        <v>0.40259323215024501</v>
      </c>
      <c r="E410" s="1" t="s">
        <v>417</v>
      </c>
      <c r="F410">
        <v>8</v>
      </c>
      <c r="G410" t="str">
        <f>VLOOKUP(A410,[1]inrix_key!$A:$C,3,FALSE)</f>
        <v>Pine_S</v>
      </c>
    </row>
    <row r="411" spans="1:7" hidden="1" x14ac:dyDescent="0.25">
      <c r="A411">
        <v>1187548975</v>
      </c>
      <c r="B411" t="s">
        <v>10</v>
      </c>
      <c r="C411">
        <v>-2.2833333333333299E-2</v>
      </c>
      <c r="D411">
        <v>-1.6886205816434501</v>
      </c>
      <c r="E411" s="1" t="s">
        <v>418</v>
      </c>
      <c r="F411">
        <v>20</v>
      </c>
      <c r="G411" t="str">
        <f>VLOOKUP(A411,[1]inrix_key!$A:$C,3,FALSE)</f>
        <v>Pine_S</v>
      </c>
    </row>
    <row r="412" spans="1:7" hidden="1" x14ac:dyDescent="0.25">
      <c r="A412">
        <v>1187548975</v>
      </c>
      <c r="B412" t="s">
        <v>12</v>
      </c>
      <c r="C412">
        <v>-3.2521929824561403E-2</v>
      </c>
      <c r="D412">
        <v>-3.9460787267434201</v>
      </c>
      <c r="E412">
        <v>3.4161440452778498E-4</v>
      </c>
      <c r="F412">
        <v>38</v>
      </c>
      <c r="G412" t="str">
        <f>VLOOKUP(A412,[1]inrix_key!$A:$C,3,FALSE)</f>
        <v>Pine_S</v>
      </c>
    </row>
    <row r="413" spans="1:7" hidden="1" x14ac:dyDescent="0.25">
      <c r="A413">
        <v>1187548975</v>
      </c>
      <c r="B413" t="s">
        <v>14</v>
      </c>
      <c r="C413">
        <v>8.0882352941176405E-2</v>
      </c>
      <c r="D413" s="1" t="s">
        <v>419</v>
      </c>
      <c r="E413" s="1" t="s">
        <v>420</v>
      </c>
      <c r="F413">
        <v>20</v>
      </c>
      <c r="G413" t="str">
        <f>VLOOKUP(A413,[1]inrix_key!$A:$C,3,FALSE)</f>
        <v>Pine_S</v>
      </c>
    </row>
    <row r="414" spans="1:7" hidden="1" x14ac:dyDescent="0.25">
      <c r="A414">
        <v>1187548975</v>
      </c>
      <c r="B414" t="s">
        <v>16</v>
      </c>
      <c r="C414">
        <v>-3.14095362970363E-2</v>
      </c>
      <c r="D414">
        <v>-2.6992553522765999</v>
      </c>
      <c r="E414">
        <v>2.44234631781459E-2</v>
      </c>
      <c r="F414">
        <v>10</v>
      </c>
      <c r="G414" t="str">
        <f>VLOOKUP(A414,[1]inrix_key!$A:$C,3,FALSE)</f>
        <v>Pine_S</v>
      </c>
    </row>
    <row r="415" spans="1:7" hidden="1" x14ac:dyDescent="0.25">
      <c r="A415">
        <v>1187548975</v>
      </c>
      <c r="B415" t="s">
        <v>19</v>
      </c>
      <c r="C415" s="1" t="s">
        <v>421</v>
      </c>
      <c r="D415" s="1" t="s">
        <v>422</v>
      </c>
      <c r="E415" s="1" t="s">
        <v>423</v>
      </c>
      <c r="F415">
        <v>8</v>
      </c>
      <c r="G415" t="str">
        <f>VLOOKUP(A415,[1]inrix_key!$A:$C,3,FALSE)</f>
        <v>Pine_S</v>
      </c>
    </row>
    <row r="416" spans="1:7" hidden="1" x14ac:dyDescent="0.25">
      <c r="A416">
        <v>1187548975</v>
      </c>
      <c r="B416" t="s">
        <v>21</v>
      </c>
      <c r="C416">
        <v>-7.8516780156118293E-2</v>
      </c>
      <c r="D416">
        <v>-7.5689460741772603</v>
      </c>
      <c r="E416" s="1" t="s">
        <v>424</v>
      </c>
      <c r="F416">
        <v>20</v>
      </c>
      <c r="G416" t="str">
        <f>VLOOKUP(A416,[1]inrix_key!$A:$C,3,FALSE)</f>
        <v>Pine_S</v>
      </c>
    </row>
    <row r="417" spans="1:7" hidden="1" x14ac:dyDescent="0.25">
      <c r="A417">
        <v>1187548975</v>
      </c>
      <c r="B417" t="s">
        <v>25</v>
      </c>
      <c r="C417">
        <v>-4.3290037555323901E-2</v>
      </c>
      <c r="D417">
        <v>-6.1312647599133303</v>
      </c>
      <c r="E417" s="1" t="s">
        <v>425</v>
      </c>
      <c r="F417">
        <v>38</v>
      </c>
      <c r="G417" t="str">
        <f>VLOOKUP(A417,[1]inrix_key!$A:$C,3,FALSE)</f>
        <v>Pine_S</v>
      </c>
    </row>
    <row r="418" spans="1:7" hidden="1" x14ac:dyDescent="0.25">
      <c r="A418">
        <v>1187548987</v>
      </c>
      <c r="B418" t="s">
        <v>6</v>
      </c>
      <c r="C418">
        <v>-1.9999999999999801E-3</v>
      </c>
      <c r="D418">
        <v>-0.115828764013645</v>
      </c>
      <c r="E418" s="1" t="s">
        <v>426</v>
      </c>
      <c r="F418">
        <v>20</v>
      </c>
      <c r="G418" t="str">
        <f>VLOOKUP(A418,[1]inrix_key!$A:$C,3,FALSE)</f>
        <v>McMillan_S</v>
      </c>
    </row>
    <row r="419" spans="1:7" hidden="1" x14ac:dyDescent="0.25">
      <c r="A419">
        <v>1187548987</v>
      </c>
      <c r="B419" t="s">
        <v>7</v>
      </c>
      <c r="C419">
        <v>-3.9999999999999801E-3</v>
      </c>
      <c r="D419">
        <v>-0.37028396110865902</v>
      </c>
      <c r="E419" s="1" t="s">
        <v>427</v>
      </c>
      <c r="F419">
        <v>10</v>
      </c>
      <c r="G419" t="str">
        <f>VLOOKUP(A419,[1]inrix_key!$A:$C,3,FALSE)</f>
        <v>McMillan_S</v>
      </c>
    </row>
    <row r="420" spans="1:7" hidden="1" x14ac:dyDescent="0.25">
      <c r="A420">
        <v>1187548987</v>
      </c>
      <c r="B420" t="s">
        <v>8</v>
      </c>
      <c r="C420" s="1" t="s">
        <v>428</v>
      </c>
      <c r="D420" s="1" t="s">
        <v>429</v>
      </c>
      <c r="E420">
        <v>1.2827561411463801E-3</v>
      </c>
      <c r="F420">
        <v>8</v>
      </c>
      <c r="G420" t="str">
        <f>VLOOKUP(A420,[1]inrix_key!$A:$C,3,FALSE)</f>
        <v>McMillan_S</v>
      </c>
    </row>
    <row r="421" spans="1:7" hidden="1" x14ac:dyDescent="0.25">
      <c r="A421">
        <v>1187548987</v>
      </c>
      <c r="B421" t="s">
        <v>10</v>
      </c>
      <c r="C421">
        <v>-2.1764705882352901E-2</v>
      </c>
      <c r="D421">
        <v>-1.4837015068078301</v>
      </c>
      <c r="E421" s="1" t="s">
        <v>430</v>
      </c>
      <c r="F421">
        <v>17</v>
      </c>
      <c r="G421" t="str">
        <f>VLOOKUP(A421,[1]inrix_key!$A:$C,3,FALSE)</f>
        <v>McMillan_S</v>
      </c>
    </row>
    <row r="422" spans="1:7" hidden="1" x14ac:dyDescent="0.25">
      <c r="A422">
        <v>1187548987</v>
      </c>
      <c r="B422" t="s">
        <v>12</v>
      </c>
      <c r="C422">
        <v>-4.7460526315789398E-2</v>
      </c>
      <c r="D422">
        <v>-4.1316609671699602</v>
      </c>
      <c r="E422">
        <v>1.97533579240414E-4</v>
      </c>
      <c r="F422">
        <v>38</v>
      </c>
      <c r="G422" t="str">
        <f>VLOOKUP(A422,[1]inrix_key!$A:$C,3,FALSE)</f>
        <v>McMillan_S</v>
      </c>
    </row>
    <row r="423" spans="1:7" hidden="1" x14ac:dyDescent="0.25">
      <c r="A423">
        <v>1187548987</v>
      </c>
      <c r="B423" t="s">
        <v>14</v>
      </c>
      <c r="C423">
        <v>-3.9255514705882302E-2</v>
      </c>
      <c r="D423">
        <v>-2.7460462241055899</v>
      </c>
      <c r="E423" s="1" t="s">
        <v>431</v>
      </c>
      <c r="F423">
        <v>20</v>
      </c>
      <c r="G423" t="str">
        <f>VLOOKUP(A423,[1]inrix_key!$A:$C,3,FALSE)</f>
        <v>McMillan_S</v>
      </c>
    </row>
    <row r="424" spans="1:7" hidden="1" x14ac:dyDescent="0.25">
      <c r="A424">
        <v>1187548987</v>
      </c>
      <c r="B424" t="s">
        <v>16</v>
      </c>
      <c r="C424">
        <v>-3.0803354978354899E-2</v>
      </c>
      <c r="D424">
        <v>-1.80726346115389</v>
      </c>
      <c r="E424" s="1" t="s">
        <v>432</v>
      </c>
      <c r="F424">
        <v>10</v>
      </c>
      <c r="G424" t="str">
        <f>VLOOKUP(A424,[1]inrix_key!$A:$C,3,FALSE)</f>
        <v>McMillan_S</v>
      </c>
    </row>
    <row r="425" spans="1:7" hidden="1" x14ac:dyDescent="0.25">
      <c r="A425">
        <v>1187548987</v>
      </c>
      <c r="B425" t="s">
        <v>19</v>
      </c>
      <c r="C425" s="1" t="s">
        <v>433</v>
      </c>
      <c r="D425" s="1" t="s">
        <v>434</v>
      </c>
      <c r="E425">
        <v>1.4200464807209399E-3</v>
      </c>
      <c r="F425">
        <v>8</v>
      </c>
      <c r="G425" t="str">
        <f>VLOOKUP(A425,[1]inrix_key!$A:$C,3,FALSE)</f>
        <v>McMillan_S</v>
      </c>
    </row>
    <row r="426" spans="1:7" hidden="1" x14ac:dyDescent="0.25">
      <c r="A426">
        <v>1187548987</v>
      </c>
      <c r="B426" t="s">
        <v>21</v>
      </c>
      <c r="C426">
        <v>1.92500089779503E-3</v>
      </c>
      <c r="D426" s="1" t="s">
        <v>435</v>
      </c>
      <c r="E426" s="1" t="s">
        <v>436</v>
      </c>
      <c r="F426">
        <v>20</v>
      </c>
      <c r="G426" t="str">
        <f>VLOOKUP(A426,[1]inrix_key!$A:$C,3,FALSE)</f>
        <v>McMillan_S</v>
      </c>
    </row>
    <row r="427" spans="1:7" hidden="1" x14ac:dyDescent="0.25">
      <c r="A427">
        <v>1187548987</v>
      </c>
      <c r="B427" t="s">
        <v>25</v>
      </c>
      <c r="C427">
        <v>-3.22412720148788E-3</v>
      </c>
      <c r="D427">
        <v>-0.32551132489300799</v>
      </c>
      <c r="E427" s="1" t="s">
        <v>437</v>
      </c>
      <c r="F427">
        <v>38</v>
      </c>
      <c r="G427" t="str">
        <f>VLOOKUP(A427,[1]inrix_key!$A:$C,3,FALSE)</f>
        <v>McMillan_S</v>
      </c>
    </row>
    <row r="428" spans="1:7" hidden="1" x14ac:dyDescent="0.25">
      <c r="A428">
        <v>1187549053</v>
      </c>
      <c r="B428" t="s">
        <v>6</v>
      </c>
      <c r="C428">
        <v>-3.5999999999999997E-2</v>
      </c>
      <c r="D428">
        <v>-2.1888378234443802</v>
      </c>
      <c r="E428">
        <v>4.1299280641508902E-2</v>
      </c>
      <c r="F428">
        <v>20</v>
      </c>
      <c r="G428" t="str">
        <f>VLOOKUP(A428,[1]inrix_key!$A:$C,3,FALSE)</f>
        <v>HobbleCreek_S</v>
      </c>
    </row>
    <row r="429" spans="1:7" hidden="1" x14ac:dyDescent="0.25">
      <c r="A429">
        <v>1187549053</v>
      </c>
      <c r="B429" t="s">
        <v>7</v>
      </c>
      <c r="C429">
        <v>-0.134083333333333</v>
      </c>
      <c r="D429">
        <v>-5.1125070463686404</v>
      </c>
      <c r="E429">
        <v>6.3435432273995201E-4</v>
      </c>
      <c r="F429">
        <v>10</v>
      </c>
      <c r="G429" t="str">
        <f>VLOOKUP(A429,[1]inrix_key!$A:$C,3,FALSE)</f>
        <v>HobbleCreek_S</v>
      </c>
    </row>
    <row r="430" spans="1:7" hidden="1" x14ac:dyDescent="0.25">
      <c r="A430">
        <v>1187549053</v>
      </c>
      <c r="B430" t="s">
        <v>8</v>
      </c>
      <c r="C430" s="1" t="s">
        <v>438</v>
      </c>
      <c r="D430" s="1" t="s">
        <v>439</v>
      </c>
      <c r="E430" s="1" t="s">
        <v>440</v>
      </c>
      <c r="F430">
        <v>8</v>
      </c>
      <c r="G430" t="str">
        <f>VLOOKUP(A430,[1]inrix_key!$A:$C,3,FALSE)</f>
        <v>HobbleCreek_S</v>
      </c>
    </row>
    <row r="431" spans="1:7" hidden="1" x14ac:dyDescent="0.25">
      <c r="A431">
        <v>1187549053</v>
      </c>
      <c r="B431" t="s">
        <v>10</v>
      </c>
      <c r="C431">
        <v>-0.10504901960784301</v>
      </c>
      <c r="D431">
        <v>-4.8228715987799999</v>
      </c>
      <c r="E431">
        <v>1.8738753377283001E-4</v>
      </c>
      <c r="F431">
        <v>17</v>
      </c>
      <c r="G431" t="str">
        <f>VLOOKUP(A431,[1]inrix_key!$A:$C,3,FALSE)</f>
        <v>HobbleCreek_S</v>
      </c>
    </row>
    <row r="432" spans="1:7" hidden="1" x14ac:dyDescent="0.25">
      <c r="A432">
        <v>1187549053</v>
      </c>
      <c r="B432" t="s">
        <v>12</v>
      </c>
      <c r="C432" s="1" t="s">
        <v>441</v>
      </c>
      <c r="D432" s="1" t="s">
        <v>442</v>
      </c>
      <c r="E432">
        <v>0.78025372838823803</v>
      </c>
      <c r="F432">
        <v>38</v>
      </c>
      <c r="G432" t="str">
        <f>VLOOKUP(A432,[1]inrix_key!$A:$C,3,FALSE)</f>
        <v>HobbleCreek_S</v>
      </c>
    </row>
    <row r="433" spans="1:7" hidden="1" x14ac:dyDescent="0.25">
      <c r="A433">
        <v>1187549053</v>
      </c>
      <c r="B433" t="s">
        <v>14</v>
      </c>
      <c r="C433">
        <v>-1.8112132352941099E-2</v>
      </c>
      <c r="D433">
        <v>-1.59834179360377</v>
      </c>
      <c r="E433" s="1" t="s">
        <v>443</v>
      </c>
      <c r="F433">
        <v>20</v>
      </c>
      <c r="G433" t="str">
        <f>VLOOKUP(A433,[1]inrix_key!$A:$C,3,FALSE)</f>
        <v>HobbleCreek_S</v>
      </c>
    </row>
    <row r="434" spans="1:7" hidden="1" x14ac:dyDescent="0.25">
      <c r="A434">
        <v>1187549053</v>
      </c>
      <c r="B434" t="s">
        <v>16</v>
      </c>
      <c r="C434">
        <v>-4.5742492229992202E-2</v>
      </c>
      <c r="D434">
        <v>-3.66436573886544</v>
      </c>
      <c r="E434">
        <v>5.2001357556821304E-3</v>
      </c>
      <c r="F434">
        <v>10</v>
      </c>
      <c r="G434" t="str">
        <f>VLOOKUP(A434,[1]inrix_key!$A:$C,3,FALSE)</f>
        <v>HobbleCreek_S</v>
      </c>
    </row>
    <row r="435" spans="1:7" hidden="1" x14ac:dyDescent="0.25">
      <c r="A435">
        <v>1187549053</v>
      </c>
      <c r="B435" t="s">
        <v>19</v>
      </c>
      <c r="C435">
        <v>-6.3662683823529298E-2</v>
      </c>
      <c r="D435">
        <v>-2.0572731881964299</v>
      </c>
      <c r="E435">
        <v>7.8681159195907902E-2</v>
      </c>
      <c r="F435">
        <v>8</v>
      </c>
      <c r="G435" t="str">
        <f>VLOOKUP(A435,[1]inrix_key!$A:$C,3,FALSE)</f>
        <v>HobbleCreek_S</v>
      </c>
    </row>
    <row r="436" spans="1:7" hidden="1" x14ac:dyDescent="0.25">
      <c r="A436">
        <v>1187549053</v>
      </c>
      <c r="B436" t="s">
        <v>21</v>
      </c>
      <c r="C436">
        <v>-4.2953639497757101E-2</v>
      </c>
      <c r="D436">
        <v>-6.1525883544208604</v>
      </c>
      <c r="E436" s="1" t="s">
        <v>444</v>
      </c>
      <c r="F436">
        <v>20</v>
      </c>
      <c r="G436" t="str">
        <f>VLOOKUP(A436,[1]inrix_key!$A:$C,3,FALSE)</f>
        <v>HobbleCreek_S</v>
      </c>
    </row>
    <row r="437" spans="1:7" hidden="1" x14ac:dyDescent="0.25">
      <c r="A437">
        <v>1187549053</v>
      </c>
      <c r="B437" t="s">
        <v>25</v>
      </c>
      <c r="C437">
        <v>4.3551616125532502E-2</v>
      </c>
      <c r="D437" s="1" t="s">
        <v>445</v>
      </c>
      <c r="E437">
        <v>8.2061875694764294E-2</v>
      </c>
      <c r="F437">
        <v>38</v>
      </c>
      <c r="G437" t="str">
        <f>VLOOKUP(A437,[1]inrix_key!$A:$C,3,FALSE)</f>
        <v>HobbleCreek_S</v>
      </c>
    </row>
    <row r="438" spans="1:7" hidden="1" x14ac:dyDescent="0.25">
      <c r="A438">
        <v>1187577122</v>
      </c>
      <c r="B438" t="s">
        <v>6</v>
      </c>
      <c r="C438" s="1" t="s">
        <v>446</v>
      </c>
      <c r="D438" s="1" t="s">
        <v>447</v>
      </c>
      <c r="E438" s="1" t="s">
        <v>448</v>
      </c>
      <c r="F438">
        <v>20</v>
      </c>
      <c r="G438" t="str">
        <f>VLOOKUP(A438,[1]inrix_key!$A:$C,3,FALSE)</f>
        <v>Chinden_E</v>
      </c>
    </row>
    <row r="439" spans="1:7" hidden="1" x14ac:dyDescent="0.25">
      <c r="A439">
        <v>1187577122</v>
      </c>
      <c r="B439" t="s">
        <v>7</v>
      </c>
      <c r="C439">
        <v>-0.22972222222222199</v>
      </c>
      <c r="D439">
        <v>-2.40717186252621</v>
      </c>
      <c r="E439">
        <v>6.1077057012765501E-2</v>
      </c>
      <c r="F439">
        <v>6</v>
      </c>
      <c r="G439" t="str">
        <f>VLOOKUP(A439,[1]inrix_key!$A:$C,3,FALSE)</f>
        <v>Chinden_E</v>
      </c>
    </row>
    <row r="440" spans="1:7" hidden="1" x14ac:dyDescent="0.25">
      <c r="A440">
        <v>1187577122</v>
      </c>
      <c r="B440" t="s">
        <v>8</v>
      </c>
      <c r="C440">
        <v>0.74875000000000003</v>
      </c>
      <c r="D440" s="1" t="s">
        <v>449</v>
      </c>
      <c r="E440" s="1" t="s">
        <v>450</v>
      </c>
      <c r="F440">
        <v>8</v>
      </c>
      <c r="G440" t="str">
        <f>VLOOKUP(A440,[1]inrix_key!$A:$C,3,FALSE)</f>
        <v>Chinden_E</v>
      </c>
    </row>
    <row r="441" spans="1:7" hidden="1" x14ac:dyDescent="0.25">
      <c r="A441">
        <v>1187577122</v>
      </c>
      <c r="B441" t="s">
        <v>10</v>
      </c>
      <c r="C441">
        <v>-1.5879629629629601E-2</v>
      </c>
      <c r="D441">
        <v>-0.62739571363733704</v>
      </c>
      <c r="E441" s="1" t="s">
        <v>451</v>
      </c>
      <c r="F441">
        <v>18</v>
      </c>
      <c r="G441" t="str">
        <f>VLOOKUP(A441,[1]inrix_key!$A:$C,3,FALSE)</f>
        <v>Chinden_E</v>
      </c>
    </row>
    <row r="442" spans="1:7" hidden="1" x14ac:dyDescent="0.25">
      <c r="A442">
        <v>1187577122</v>
      </c>
      <c r="B442" t="s">
        <v>12</v>
      </c>
      <c r="C442">
        <v>7.0539473684210402E-2</v>
      </c>
      <c r="D442">
        <v>0.80986653493836502</v>
      </c>
      <c r="E442" s="1" t="s">
        <v>452</v>
      </c>
      <c r="F442">
        <v>38</v>
      </c>
      <c r="G442" t="str">
        <f>VLOOKUP(A442,[1]inrix_key!$A:$C,3,FALSE)</f>
        <v>Chinden_E</v>
      </c>
    </row>
    <row r="443" spans="1:7" hidden="1" x14ac:dyDescent="0.25">
      <c r="A443">
        <v>1187577122</v>
      </c>
      <c r="B443" t="s">
        <v>14</v>
      </c>
      <c r="C443" s="1" t="s">
        <v>453</v>
      </c>
      <c r="D443" s="1" t="s">
        <v>454</v>
      </c>
      <c r="E443" s="1" t="s">
        <v>455</v>
      </c>
      <c r="F443">
        <v>20</v>
      </c>
      <c r="G443" t="str">
        <f>VLOOKUP(A443,[1]inrix_key!$A:$C,3,FALSE)</f>
        <v>Chinden_E</v>
      </c>
    </row>
    <row r="444" spans="1:7" hidden="1" x14ac:dyDescent="0.25">
      <c r="A444">
        <v>1187577122</v>
      </c>
      <c r="B444" t="s">
        <v>16</v>
      </c>
      <c r="C444" s="1" t="s">
        <v>456</v>
      </c>
      <c r="D444" s="1" t="s">
        <v>457</v>
      </c>
      <c r="E444" s="1" t="s">
        <v>458</v>
      </c>
      <c r="F444">
        <v>10</v>
      </c>
      <c r="G444" t="str">
        <f>VLOOKUP(A444,[1]inrix_key!$A:$C,3,FALSE)</f>
        <v>Chinden_E</v>
      </c>
    </row>
    <row r="445" spans="1:7" hidden="1" x14ac:dyDescent="0.25">
      <c r="A445">
        <v>1187577122</v>
      </c>
      <c r="B445" t="s">
        <v>19</v>
      </c>
      <c r="C445" s="1" t="s">
        <v>459</v>
      </c>
      <c r="D445" s="1" t="s">
        <v>460</v>
      </c>
      <c r="E445" s="1" t="s">
        <v>461</v>
      </c>
      <c r="F445">
        <v>8</v>
      </c>
      <c r="G445" t="str">
        <f>VLOOKUP(A445,[1]inrix_key!$A:$C,3,FALSE)</f>
        <v>Chinden_E</v>
      </c>
    </row>
    <row r="446" spans="1:7" hidden="1" x14ac:dyDescent="0.25">
      <c r="A446">
        <v>1187577122</v>
      </c>
      <c r="B446" t="s">
        <v>21</v>
      </c>
      <c r="C446">
        <v>-2.9153456510809399E-2</v>
      </c>
      <c r="D446">
        <v>-1.7508897257437099</v>
      </c>
      <c r="E446">
        <v>9.6094309801752403E-2</v>
      </c>
      <c r="F446">
        <v>20</v>
      </c>
      <c r="G446" t="str">
        <f>VLOOKUP(A446,[1]inrix_key!$A:$C,3,FALSE)</f>
        <v>Chinden_E</v>
      </c>
    </row>
    <row r="447" spans="1:7" x14ac:dyDescent="0.25">
      <c r="A447">
        <v>1187577122</v>
      </c>
      <c r="B447" t="s">
        <v>25</v>
      </c>
      <c r="C447">
        <v>0.17500109286138699</v>
      </c>
      <c r="D447" s="1" t="s">
        <v>462</v>
      </c>
      <c r="E447">
        <v>5.50526777964789E-3</v>
      </c>
      <c r="F447">
        <v>38</v>
      </c>
      <c r="G447" t="str">
        <f>VLOOKUP(A447,[1]inrix_key!$A:$C,3,FALSE)</f>
        <v>Chinden_E</v>
      </c>
    </row>
    <row r="448" spans="1:7" hidden="1" x14ac:dyDescent="0.25">
      <c r="A448">
        <v>1187579027</v>
      </c>
      <c r="B448" t="s">
        <v>6</v>
      </c>
      <c r="C448" s="1" t="s">
        <v>463</v>
      </c>
      <c r="D448" s="1" t="s">
        <v>464</v>
      </c>
      <c r="E448" s="1" t="s">
        <v>465</v>
      </c>
      <c r="F448">
        <v>20</v>
      </c>
      <c r="G448" t="str">
        <f>VLOOKUP(A448,[1]inrix_key!$A:$C,3,FALSE)</f>
        <v>Fairview_E</v>
      </c>
    </row>
    <row r="449" spans="1:7" hidden="1" x14ac:dyDescent="0.25">
      <c r="A449">
        <v>1187579027</v>
      </c>
      <c r="B449" t="s">
        <v>7</v>
      </c>
      <c r="C449">
        <v>4.9074074074074402E-3</v>
      </c>
      <c r="D449" s="1" t="s">
        <v>466</v>
      </c>
      <c r="E449" s="1" t="s">
        <v>467</v>
      </c>
      <c r="F449">
        <v>9</v>
      </c>
      <c r="G449" t="str">
        <f>VLOOKUP(A449,[1]inrix_key!$A:$C,3,FALSE)</f>
        <v>Fairview_E</v>
      </c>
    </row>
    <row r="450" spans="1:7" hidden="1" x14ac:dyDescent="0.25">
      <c r="A450">
        <v>1187579027</v>
      </c>
      <c r="B450" t="s">
        <v>8</v>
      </c>
      <c r="C450">
        <v>6.9062499999999999E-2</v>
      </c>
      <c r="D450" s="1" t="s">
        <v>468</v>
      </c>
      <c r="E450" s="1" t="s">
        <v>469</v>
      </c>
      <c r="F450">
        <v>8</v>
      </c>
      <c r="G450" t="str">
        <f>VLOOKUP(A450,[1]inrix_key!$A:$C,3,FALSE)</f>
        <v>Fairview_E</v>
      </c>
    </row>
    <row r="451" spans="1:7" hidden="1" x14ac:dyDescent="0.25">
      <c r="A451">
        <v>1187579027</v>
      </c>
      <c r="B451" t="s">
        <v>10</v>
      </c>
      <c r="C451">
        <v>1.4743589743589499E-3</v>
      </c>
      <c r="D451">
        <v>3.74989588689736E-2</v>
      </c>
      <c r="E451" s="1" t="s">
        <v>470</v>
      </c>
      <c r="F451">
        <v>13</v>
      </c>
      <c r="G451" t="str">
        <f>VLOOKUP(A451,[1]inrix_key!$A:$C,3,FALSE)</f>
        <v>Fairview_E</v>
      </c>
    </row>
    <row r="452" spans="1:7" hidden="1" x14ac:dyDescent="0.25">
      <c r="A452">
        <v>1187579027</v>
      </c>
      <c r="B452" t="s">
        <v>12</v>
      </c>
      <c r="C452">
        <v>-1.4973684210526301E-2</v>
      </c>
      <c r="D452">
        <v>-0.79186186624807298</v>
      </c>
      <c r="E452" s="1" t="s">
        <v>471</v>
      </c>
      <c r="F452">
        <v>38</v>
      </c>
      <c r="G452" t="str">
        <f>VLOOKUP(A452,[1]inrix_key!$A:$C,3,FALSE)</f>
        <v>Fairview_E</v>
      </c>
    </row>
    <row r="453" spans="1:7" hidden="1" x14ac:dyDescent="0.25">
      <c r="A453">
        <v>1187579027</v>
      </c>
      <c r="B453" t="s">
        <v>14</v>
      </c>
      <c r="C453">
        <v>4.52022058823532E-3</v>
      </c>
      <c r="D453" s="1" t="s">
        <v>472</v>
      </c>
      <c r="E453" s="1" t="s">
        <v>473</v>
      </c>
      <c r="F453">
        <v>20</v>
      </c>
      <c r="G453" t="str">
        <f>VLOOKUP(A453,[1]inrix_key!$A:$C,3,FALSE)</f>
        <v>Fairview_E</v>
      </c>
    </row>
    <row r="454" spans="1:7" hidden="1" x14ac:dyDescent="0.25">
      <c r="A454">
        <v>1187579027</v>
      </c>
      <c r="B454" t="s">
        <v>16</v>
      </c>
      <c r="C454">
        <v>-3.6700824175824098E-2</v>
      </c>
      <c r="D454">
        <v>-1.4959144888850699</v>
      </c>
      <c r="E454" s="1" t="s">
        <v>474</v>
      </c>
      <c r="F454">
        <v>10</v>
      </c>
      <c r="G454" t="str">
        <f>VLOOKUP(A454,[1]inrix_key!$A:$C,3,FALSE)</f>
        <v>Fairview_E</v>
      </c>
    </row>
    <row r="455" spans="1:7" hidden="1" x14ac:dyDescent="0.25">
      <c r="A455">
        <v>1187579027</v>
      </c>
      <c r="B455" t="s">
        <v>19</v>
      </c>
      <c r="C455">
        <v>5.7495404411764699E-2</v>
      </c>
      <c r="D455" s="1" t="s">
        <v>475</v>
      </c>
      <c r="E455">
        <v>0.177081812703823</v>
      </c>
      <c r="F455">
        <v>8</v>
      </c>
      <c r="G455" t="str">
        <f>VLOOKUP(A455,[1]inrix_key!$A:$C,3,FALSE)</f>
        <v>Fairview_E</v>
      </c>
    </row>
    <row r="456" spans="1:7" hidden="1" x14ac:dyDescent="0.25">
      <c r="A456">
        <v>1187579027</v>
      </c>
      <c r="B456" t="s">
        <v>21</v>
      </c>
      <c r="C456">
        <v>-2.97836978381096E-2</v>
      </c>
      <c r="D456">
        <v>-2.7732774938115998</v>
      </c>
      <c r="E456" s="1" t="s">
        <v>476</v>
      </c>
      <c r="F456">
        <v>20</v>
      </c>
      <c r="G456" t="str">
        <f>VLOOKUP(A456,[1]inrix_key!$A:$C,3,FALSE)</f>
        <v>Fairview_E</v>
      </c>
    </row>
    <row r="457" spans="1:7" hidden="1" x14ac:dyDescent="0.25">
      <c r="A457">
        <v>1187579027</v>
      </c>
      <c r="B457" t="s">
        <v>25</v>
      </c>
      <c r="C457">
        <v>1.7109701229283202E-2</v>
      </c>
      <c r="D457" s="1" t="s">
        <v>477</v>
      </c>
      <c r="E457" s="1" t="s">
        <v>478</v>
      </c>
      <c r="F457">
        <v>38</v>
      </c>
      <c r="G457" t="str">
        <f>VLOOKUP(A457,[1]inrix_key!$A:$C,3,FALSE)</f>
        <v>Fairview_E</v>
      </c>
    </row>
    <row r="458" spans="1:7" hidden="1" x14ac:dyDescent="0.25">
      <c r="A458">
        <v>1187586311</v>
      </c>
      <c r="B458" t="s">
        <v>6</v>
      </c>
      <c r="C458">
        <v>7.825E-2</v>
      </c>
      <c r="D458" s="1" t="s">
        <v>479</v>
      </c>
      <c r="E458" s="1" t="s">
        <v>480</v>
      </c>
      <c r="F458">
        <v>20</v>
      </c>
      <c r="G458" t="str">
        <f>VLOOKUP(A458,[1]inrix_key!$A:$C,3,FALSE)</f>
        <v>EB_W</v>
      </c>
    </row>
    <row r="459" spans="1:7" hidden="1" x14ac:dyDescent="0.25">
      <c r="A459">
        <v>1187586311</v>
      </c>
      <c r="B459" t="s">
        <v>7</v>
      </c>
      <c r="C459">
        <v>-0.116666666666666</v>
      </c>
      <c r="D459">
        <v>-3.0495372367184599</v>
      </c>
      <c r="E459">
        <v>3.8045445720118802E-2</v>
      </c>
      <c r="F459">
        <v>5</v>
      </c>
      <c r="G459" t="str">
        <f>VLOOKUP(A459,[1]inrix_key!$A:$C,3,FALSE)</f>
        <v>EB_W</v>
      </c>
    </row>
    <row r="460" spans="1:7" hidden="1" x14ac:dyDescent="0.25">
      <c r="A460">
        <v>1187586311</v>
      </c>
      <c r="B460" t="s">
        <v>8</v>
      </c>
      <c r="C460">
        <v>4.3749999999999997E-2</v>
      </c>
      <c r="D460" s="1" t="s">
        <v>481</v>
      </c>
      <c r="E460">
        <v>0.18810855202937399</v>
      </c>
      <c r="F460">
        <v>8</v>
      </c>
      <c r="G460" t="str">
        <f>VLOOKUP(A460,[1]inrix_key!$A:$C,3,FALSE)</f>
        <v>EB_W</v>
      </c>
    </row>
    <row r="461" spans="1:7" hidden="1" x14ac:dyDescent="0.25">
      <c r="A461">
        <v>1187586311</v>
      </c>
      <c r="B461" t="s">
        <v>10</v>
      </c>
      <c r="C461">
        <v>4.3508771929824497E-2</v>
      </c>
      <c r="D461">
        <v>2.6673735161305898</v>
      </c>
      <c r="E461" s="1" t="s">
        <v>482</v>
      </c>
      <c r="F461">
        <v>19</v>
      </c>
      <c r="G461" t="str">
        <f>VLOOKUP(A461,[1]inrix_key!$A:$C,3,FALSE)</f>
        <v>EB_W</v>
      </c>
    </row>
    <row r="462" spans="1:7" hidden="1" x14ac:dyDescent="0.25">
      <c r="A462">
        <v>1187586311</v>
      </c>
      <c r="B462" t="s">
        <v>12</v>
      </c>
      <c r="C462">
        <v>2.1973684210526302E-2</v>
      </c>
      <c r="D462" s="1" t="s">
        <v>483</v>
      </c>
      <c r="E462">
        <v>8.9713203063830793E-2</v>
      </c>
      <c r="F462">
        <v>38</v>
      </c>
      <c r="G462" t="str">
        <f>VLOOKUP(A462,[1]inrix_key!$A:$C,3,FALSE)</f>
        <v>EB_W</v>
      </c>
    </row>
    <row r="463" spans="1:7" hidden="1" x14ac:dyDescent="0.25">
      <c r="A463">
        <v>1187586311</v>
      </c>
      <c r="B463" t="s">
        <v>14</v>
      </c>
      <c r="C463">
        <v>-1.7367647058823502E-2</v>
      </c>
      <c r="D463">
        <v>-0.92472057685951103</v>
      </c>
      <c r="E463" s="1" t="s">
        <v>484</v>
      </c>
      <c r="F463">
        <v>20</v>
      </c>
      <c r="G463" t="str">
        <f>VLOOKUP(A463,[1]inrix_key!$A:$C,3,FALSE)</f>
        <v>EB_W</v>
      </c>
    </row>
    <row r="464" spans="1:7" hidden="1" x14ac:dyDescent="0.25">
      <c r="A464">
        <v>1187586311</v>
      </c>
      <c r="B464" t="s">
        <v>16</v>
      </c>
      <c r="C464">
        <v>-0.14396691086690999</v>
      </c>
      <c r="D464">
        <v>-3.3442187019627601</v>
      </c>
      <c r="E464">
        <v>8.6022565155903803E-3</v>
      </c>
      <c r="F464">
        <v>10</v>
      </c>
      <c r="G464" t="str">
        <f>VLOOKUP(A464,[1]inrix_key!$A:$C,3,FALSE)</f>
        <v>EB_W</v>
      </c>
    </row>
    <row r="465" spans="1:7" hidden="1" x14ac:dyDescent="0.25">
      <c r="A465">
        <v>1187586311</v>
      </c>
      <c r="B465" t="s">
        <v>19</v>
      </c>
      <c r="C465">
        <v>-6.8933823529410099E-4</v>
      </c>
      <c r="D465">
        <v>-3.9532509706296202E-2</v>
      </c>
      <c r="E465" s="1" t="s">
        <v>485</v>
      </c>
      <c r="F465">
        <v>8</v>
      </c>
      <c r="G465" t="str">
        <f>VLOOKUP(A465,[1]inrix_key!$A:$C,3,FALSE)</f>
        <v>EB_W</v>
      </c>
    </row>
    <row r="466" spans="1:7" hidden="1" x14ac:dyDescent="0.25">
      <c r="A466">
        <v>1187586311</v>
      </c>
      <c r="B466" t="s">
        <v>21</v>
      </c>
      <c r="C466">
        <v>1.8415880443086299E-2</v>
      </c>
      <c r="D466">
        <v>0.93041044311564702</v>
      </c>
      <c r="E466" s="1" t="s">
        <v>486</v>
      </c>
      <c r="F466">
        <v>20</v>
      </c>
      <c r="G466" t="str">
        <f>VLOOKUP(A466,[1]inrix_key!$A:$C,3,FALSE)</f>
        <v>EB_W</v>
      </c>
    </row>
    <row r="467" spans="1:7" hidden="1" x14ac:dyDescent="0.25">
      <c r="A467">
        <v>1187586311</v>
      </c>
      <c r="B467" t="s">
        <v>25</v>
      </c>
      <c r="C467">
        <v>-8.8952426787179007E-3</v>
      </c>
      <c r="D467">
        <v>-1.1495413608421401</v>
      </c>
      <c r="E467" s="1" t="s">
        <v>487</v>
      </c>
      <c r="F467">
        <v>38</v>
      </c>
      <c r="G467" t="str">
        <f>VLOOKUP(A467,[1]inrix_key!$A:$C,3,FALSE)</f>
        <v>EB_W</v>
      </c>
    </row>
    <row r="468" spans="1:7" x14ac:dyDescent="0.25">
      <c r="A468">
        <v>1187612015</v>
      </c>
      <c r="B468" t="s">
        <v>6</v>
      </c>
      <c r="C468">
        <v>0.1895</v>
      </c>
      <c r="D468" s="1" t="s">
        <v>488</v>
      </c>
      <c r="E468">
        <v>3.4467335137867999E-4</v>
      </c>
      <c r="F468">
        <v>20</v>
      </c>
      <c r="G468" t="str">
        <f>VLOOKUP(A468,[1]inrix_key!$A:$C,3,FALSE)</f>
        <v>Chinden_W</v>
      </c>
    </row>
    <row r="469" spans="1:7" hidden="1" x14ac:dyDescent="0.25">
      <c r="A469">
        <v>1187612015</v>
      </c>
      <c r="B469" t="s">
        <v>7</v>
      </c>
      <c r="C469" s="1" t="s">
        <v>489</v>
      </c>
      <c r="D469" s="1" t="s">
        <v>490</v>
      </c>
      <c r="E469" s="1" t="s">
        <v>491</v>
      </c>
      <c r="F469">
        <v>10</v>
      </c>
      <c r="G469" t="str">
        <f>VLOOKUP(A469,[1]inrix_key!$A:$C,3,FALSE)</f>
        <v>Chinden_W</v>
      </c>
    </row>
    <row r="470" spans="1:7" x14ac:dyDescent="0.25">
      <c r="A470">
        <v>1187612015</v>
      </c>
      <c r="B470" t="s">
        <v>8</v>
      </c>
      <c r="C470" s="1" t="s">
        <v>492</v>
      </c>
      <c r="D470" s="1" t="s">
        <v>493</v>
      </c>
      <c r="E470">
        <v>2.41967229299159E-4</v>
      </c>
      <c r="F470">
        <v>8</v>
      </c>
      <c r="G470" t="str">
        <f>VLOOKUP(A470,[1]inrix_key!$A:$C,3,FALSE)</f>
        <v>Chinden_W</v>
      </c>
    </row>
    <row r="471" spans="1:7" hidden="1" x14ac:dyDescent="0.25">
      <c r="A471">
        <v>1187612015</v>
      </c>
      <c r="B471" t="s">
        <v>10</v>
      </c>
      <c r="C471">
        <v>-2.2833333333333299E-2</v>
      </c>
      <c r="D471">
        <v>-1.02296617598024</v>
      </c>
      <c r="E471" s="1" t="s">
        <v>494</v>
      </c>
      <c r="F471">
        <v>20</v>
      </c>
      <c r="G471" t="str">
        <f>VLOOKUP(A471,[1]inrix_key!$A:$C,3,FALSE)</f>
        <v>Chinden_W</v>
      </c>
    </row>
    <row r="472" spans="1:7" x14ac:dyDescent="0.25">
      <c r="A472">
        <v>1187612015</v>
      </c>
      <c r="B472" t="s">
        <v>12</v>
      </c>
      <c r="C472">
        <v>-4.8017543859649098E-2</v>
      </c>
      <c r="D472">
        <v>-2.5828094720008199</v>
      </c>
      <c r="E472">
        <v>1.38897386365982E-2</v>
      </c>
      <c r="F472">
        <v>38</v>
      </c>
      <c r="G472" t="str">
        <f>VLOOKUP(A472,[1]inrix_key!$A:$C,3,FALSE)</f>
        <v>Chinden_W</v>
      </c>
    </row>
    <row r="473" spans="1:7" hidden="1" x14ac:dyDescent="0.25">
      <c r="A473">
        <v>1187612015</v>
      </c>
      <c r="B473" t="s">
        <v>14</v>
      </c>
      <c r="C473" s="1" t="s">
        <v>495</v>
      </c>
      <c r="D473" s="1" t="s">
        <v>496</v>
      </c>
      <c r="E473" s="1" t="s">
        <v>497</v>
      </c>
      <c r="F473">
        <v>20</v>
      </c>
      <c r="G473" t="str">
        <f>VLOOKUP(A473,[1]inrix_key!$A:$C,3,FALSE)</f>
        <v>Chinden_W</v>
      </c>
    </row>
    <row r="474" spans="1:7" hidden="1" x14ac:dyDescent="0.25">
      <c r="A474">
        <v>1187612015</v>
      </c>
      <c r="B474" t="s">
        <v>16</v>
      </c>
      <c r="C474">
        <v>-8.6862026862026993E-3</v>
      </c>
      <c r="D474">
        <v>-0.65888719893917103</v>
      </c>
      <c r="E474" s="1" t="s">
        <v>498</v>
      </c>
      <c r="F474">
        <v>10</v>
      </c>
      <c r="G474" t="str">
        <f>VLOOKUP(A474,[1]inrix_key!$A:$C,3,FALSE)</f>
        <v>Chinden_W</v>
      </c>
    </row>
    <row r="475" spans="1:7" x14ac:dyDescent="0.25">
      <c r="A475">
        <v>1187612015</v>
      </c>
      <c r="B475" t="s">
        <v>19</v>
      </c>
      <c r="C475">
        <v>6.4434742647058701E-2</v>
      </c>
      <c r="D475" s="1" t="s">
        <v>499</v>
      </c>
      <c r="E475">
        <v>3.78339993495102E-3</v>
      </c>
      <c r="F475">
        <v>8</v>
      </c>
      <c r="G475" t="str">
        <f>VLOOKUP(A475,[1]inrix_key!$A:$C,3,FALSE)</f>
        <v>Chinden_W</v>
      </c>
    </row>
    <row r="476" spans="1:7" x14ac:dyDescent="0.25">
      <c r="A476">
        <v>1187612015</v>
      </c>
      <c r="B476" t="s">
        <v>21</v>
      </c>
      <c r="C476">
        <v>6.8109399464914094E-2</v>
      </c>
      <c r="D476" s="1" t="s">
        <v>500</v>
      </c>
      <c r="E476">
        <v>3.2285634643118601E-2</v>
      </c>
      <c r="F476">
        <v>20</v>
      </c>
      <c r="G476" t="str">
        <f>VLOOKUP(A476,[1]inrix_key!$A:$C,3,FALSE)</f>
        <v>Chinden_W</v>
      </c>
    </row>
    <row r="477" spans="1:7" hidden="1" x14ac:dyDescent="0.25">
      <c r="A477">
        <v>1187612015</v>
      </c>
      <c r="B477" t="s">
        <v>25</v>
      </c>
      <c r="C477">
        <v>-8.3108882646421006E-3</v>
      </c>
      <c r="D477">
        <v>-1.3588542695883199</v>
      </c>
      <c r="E477" s="1" t="s">
        <v>501</v>
      </c>
      <c r="F477">
        <v>38</v>
      </c>
      <c r="G477" t="str">
        <f>VLOOKUP(A477,[1]inrix_key!$A:$C,3,FALSE)</f>
        <v>Chinden_W</v>
      </c>
    </row>
    <row r="478" spans="1:7" hidden="1" x14ac:dyDescent="0.25">
      <c r="A478">
        <v>1187635580</v>
      </c>
      <c r="B478" t="s">
        <v>6</v>
      </c>
      <c r="C478">
        <v>-3.7999999999999902E-2</v>
      </c>
      <c r="D478">
        <v>-2.54628381757616</v>
      </c>
      <c r="E478">
        <v>1.9713802936787098E-2</v>
      </c>
      <c r="F478">
        <v>20</v>
      </c>
      <c r="G478" t="str">
        <f>VLOOKUP(A478,[1]inrix_key!$A:$C,3,FALSE)</f>
        <v>WB_S</v>
      </c>
    </row>
    <row r="479" spans="1:7" hidden="1" x14ac:dyDescent="0.25">
      <c r="A479">
        <v>1187635580</v>
      </c>
      <c r="B479" t="s">
        <v>7</v>
      </c>
      <c r="C479">
        <v>-4.5749999999999999E-2</v>
      </c>
      <c r="D479">
        <v>-5.1366270174502899</v>
      </c>
      <c r="E479">
        <v>6.1407613382940597E-4</v>
      </c>
      <c r="F479">
        <v>10</v>
      </c>
      <c r="G479" t="str">
        <f>VLOOKUP(A479,[1]inrix_key!$A:$C,3,FALSE)</f>
        <v>WB_S</v>
      </c>
    </row>
    <row r="480" spans="1:7" hidden="1" x14ac:dyDescent="0.25">
      <c r="A480">
        <v>1187635580</v>
      </c>
      <c r="B480" t="s">
        <v>8</v>
      </c>
      <c r="C480">
        <v>8.0937499999999898E-2</v>
      </c>
      <c r="D480" s="1" t="s">
        <v>502</v>
      </c>
      <c r="E480">
        <v>1.6613383564237399E-2</v>
      </c>
      <c r="F480">
        <v>8</v>
      </c>
      <c r="G480" t="str">
        <f>VLOOKUP(A480,[1]inrix_key!$A:$C,3,FALSE)</f>
        <v>WB_S</v>
      </c>
    </row>
    <row r="481" spans="1:7" hidden="1" x14ac:dyDescent="0.25">
      <c r="A481">
        <v>1187635580</v>
      </c>
      <c r="B481" t="s">
        <v>10</v>
      </c>
      <c r="C481">
        <v>-2.6291666666666599E-2</v>
      </c>
      <c r="D481">
        <v>-2.2551017412476102</v>
      </c>
      <c r="E481" s="1" t="s">
        <v>503</v>
      </c>
      <c r="F481">
        <v>20</v>
      </c>
      <c r="G481" t="str">
        <f>VLOOKUP(A481,[1]inrix_key!$A:$C,3,FALSE)</f>
        <v>WB_S</v>
      </c>
    </row>
    <row r="482" spans="1:7" hidden="1" x14ac:dyDescent="0.25">
      <c r="A482">
        <v>1187635580</v>
      </c>
      <c r="B482" t="s">
        <v>12</v>
      </c>
      <c r="C482">
        <v>-1.8157894736842099E-2</v>
      </c>
      <c r="D482">
        <v>-1.4696583053923</v>
      </c>
      <c r="E482" s="1" t="s">
        <v>504</v>
      </c>
      <c r="F482">
        <v>38</v>
      </c>
      <c r="G482" t="str">
        <f>VLOOKUP(A482,[1]inrix_key!$A:$C,3,FALSE)</f>
        <v>WB_S</v>
      </c>
    </row>
    <row r="483" spans="1:7" hidden="1" x14ac:dyDescent="0.25">
      <c r="A483">
        <v>1187635580</v>
      </c>
      <c r="B483" t="s">
        <v>14</v>
      </c>
      <c r="C483">
        <v>-9.2698529411764694E-2</v>
      </c>
      <c r="D483">
        <v>-7.2391144849748397</v>
      </c>
      <c r="E483" s="1" t="s">
        <v>505</v>
      </c>
      <c r="F483">
        <v>20</v>
      </c>
      <c r="G483" t="str">
        <f>VLOOKUP(A483,[1]inrix_key!$A:$C,3,FALSE)</f>
        <v>WB_S</v>
      </c>
    </row>
    <row r="484" spans="1:7" hidden="1" x14ac:dyDescent="0.25">
      <c r="A484">
        <v>1187635580</v>
      </c>
      <c r="B484" t="s">
        <v>16</v>
      </c>
      <c r="C484">
        <v>-3.4715986790986697E-2</v>
      </c>
      <c r="D484">
        <v>-5.0958851770265801</v>
      </c>
      <c r="E484">
        <v>6.48748598328111E-4</v>
      </c>
      <c r="F484">
        <v>10</v>
      </c>
      <c r="G484" t="str">
        <f>VLOOKUP(A484,[1]inrix_key!$A:$C,3,FALSE)</f>
        <v>WB_S</v>
      </c>
    </row>
    <row r="485" spans="1:7" hidden="1" x14ac:dyDescent="0.25">
      <c r="A485">
        <v>1187635580</v>
      </c>
      <c r="B485" t="s">
        <v>19</v>
      </c>
      <c r="C485">
        <v>3.5165441176470601E-2</v>
      </c>
      <c r="D485" s="1" t="s">
        <v>506</v>
      </c>
      <c r="E485" s="1" t="s">
        <v>507</v>
      </c>
      <c r="F485">
        <v>8</v>
      </c>
      <c r="G485" t="str">
        <f>VLOOKUP(A485,[1]inrix_key!$A:$C,3,FALSE)</f>
        <v>WB_S</v>
      </c>
    </row>
    <row r="486" spans="1:7" hidden="1" x14ac:dyDescent="0.25">
      <c r="A486">
        <v>1187635580</v>
      </c>
      <c r="B486" t="s">
        <v>21</v>
      </c>
      <c r="C486">
        <v>-3.6047853412926899E-2</v>
      </c>
      <c r="D486">
        <v>-5.23044459657077</v>
      </c>
      <c r="E486" s="1" t="s">
        <v>508</v>
      </c>
      <c r="F486">
        <v>20</v>
      </c>
      <c r="G486" t="str">
        <f>VLOOKUP(A486,[1]inrix_key!$A:$C,3,FALSE)</f>
        <v>WB_S</v>
      </c>
    </row>
    <row r="487" spans="1:7" hidden="1" x14ac:dyDescent="0.25">
      <c r="A487">
        <v>1187635580</v>
      </c>
      <c r="B487" t="s">
        <v>25</v>
      </c>
      <c r="C487">
        <v>-3.03148599766246E-2</v>
      </c>
      <c r="D487">
        <v>-2.7541934502243102</v>
      </c>
      <c r="E487">
        <v>9.0696165750548605E-3</v>
      </c>
      <c r="F487">
        <v>38</v>
      </c>
      <c r="G487" t="str">
        <f>VLOOKUP(A487,[1]inrix_key!$A:$C,3,FALSE)</f>
        <v>WB_S</v>
      </c>
    </row>
    <row r="488" spans="1:7" hidden="1" x14ac:dyDescent="0.25">
      <c r="A488">
        <v>1187636735</v>
      </c>
      <c r="B488" t="s">
        <v>6</v>
      </c>
      <c r="C488">
        <v>-3.3500000000000002E-2</v>
      </c>
      <c r="D488">
        <v>-2.2309861615515501</v>
      </c>
      <c r="E488">
        <v>3.7929350912966203E-2</v>
      </c>
      <c r="F488">
        <v>20</v>
      </c>
      <c r="G488" t="str">
        <f>VLOOKUP(A488,[1]inrix_key!$A:$C,3,FALSE)</f>
        <v>WB_E</v>
      </c>
    </row>
    <row r="489" spans="1:7" hidden="1" x14ac:dyDescent="0.25">
      <c r="A489">
        <v>1187636735</v>
      </c>
      <c r="B489" t="s">
        <v>7</v>
      </c>
      <c r="C489" s="1" t="s">
        <v>509</v>
      </c>
      <c r="D489" s="1" t="s">
        <v>510</v>
      </c>
      <c r="E489" s="1" t="s">
        <v>511</v>
      </c>
      <c r="F489">
        <v>10</v>
      </c>
      <c r="G489" t="str">
        <f>VLOOKUP(A489,[1]inrix_key!$A:$C,3,FALSE)</f>
        <v>WB_E</v>
      </c>
    </row>
    <row r="490" spans="1:7" hidden="1" x14ac:dyDescent="0.25">
      <c r="A490">
        <v>1187636735</v>
      </c>
      <c r="B490" t="s">
        <v>8</v>
      </c>
      <c r="C490">
        <v>-6.0312499999999998E-2</v>
      </c>
      <c r="D490">
        <v>-3.34388526685682</v>
      </c>
      <c r="E490" s="1" t="s">
        <v>512</v>
      </c>
      <c r="F490">
        <v>8</v>
      </c>
      <c r="G490" t="str">
        <f>VLOOKUP(A490,[1]inrix_key!$A:$C,3,FALSE)</f>
        <v>WB_E</v>
      </c>
    </row>
    <row r="491" spans="1:7" hidden="1" x14ac:dyDescent="0.25">
      <c r="A491">
        <v>1187636735</v>
      </c>
      <c r="B491" t="s">
        <v>10</v>
      </c>
      <c r="C491">
        <v>-6.3774509803921506E-2</v>
      </c>
      <c r="D491">
        <v>-3.9490932885968699</v>
      </c>
      <c r="E491">
        <v>1.1486736750312299E-3</v>
      </c>
      <c r="F491">
        <v>17</v>
      </c>
      <c r="G491" t="str">
        <f>VLOOKUP(A491,[1]inrix_key!$A:$C,3,FALSE)</f>
        <v>WB_E</v>
      </c>
    </row>
    <row r="492" spans="1:7" hidden="1" x14ac:dyDescent="0.25">
      <c r="A492">
        <v>1187636735</v>
      </c>
      <c r="B492" t="s">
        <v>12</v>
      </c>
      <c r="C492">
        <v>-2.85219298245614E-2</v>
      </c>
      <c r="D492">
        <v>-4.8900694636036697</v>
      </c>
      <c r="E492" s="1" t="s">
        <v>513</v>
      </c>
      <c r="F492">
        <v>38</v>
      </c>
      <c r="G492" t="str">
        <f>VLOOKUP(A492,[1]inrix_key!$A:$C,3,FALSE)</f>
        <v>WB_E</v>
      </c>
    </row>
    <row r="493" spans="1:7" hidden="1" x14ac:dyDescent="0.25">
      <c r="A493">
        <v>1187636735</v>
      </c>
      <c r="B493" t="s">
        <v>14</v>
      </c>
      <c r="C493">
        <v>-1.6525735294117602E-2</v>
      </c>
      <c r="D493">
        <v>-1.3794609019517501</v>
      </c>
      <c r="E493" s="1" t="s">
        <v>514</v>
      </c>
      <c r="F493">
        <v>20</v>
      </c>
      <c r="G493" t="str">
        <f>VLOOKUP(A493,[1]inrix_key!$A:$C,3,FALSE)</f>
        <v>WB_E</v>
      </c>
    </row>
    <row r="494" spans="1:7" hidden="1" x14ac:dyDescent="0.25">
      <c r="A494">
        <v>1187636735</v>
      </c>
      <c r="B494" t="s">
        <v>16</v>
      </c>
      <c r="C494">
        <v>7.6651390276390096E-3</v>
      </c>
      <c r="D494" s="1" t="s">
        <v>515</v>
      </c>
      <c r="E494" s="1" t="s">
        <v>516</v>
      </c>
      <c r="F494">
        <v>10</v>
      </c>
      <c r="G494" t="str">
        <f>VLOOKUP(A494,[1]inrix_key!$A:$C,3,FALSE)</f>
        <v>WB_E</v>
      </c>
    </row>
    <row r="495" spans="1:7" hidden="1" x14ac:dyDescent="0.25">
      <c r="A495">
        <v>1187636735</v>
      </c>
      <c r="B495" t="s">
        <v>19</v>
      </c>
      <c r="C495">
        <v>-2.01516544117647E-2</v>
      </c>
      <c r="D495">
        <v>-0.72917097219023397</v>
      </c>
      <c r="E495" s="1" t="s">
        <v>517</v>
      </c>
      <c r="F495">
        <v>8</v>
      </c>
      <c r="G495" t="str">
        <f>VLOOKUP(A495,[1]inrix_key!$A:$C,3,FALSE)</f>
        <v>WB_E</v>
      </c>
    </row>
    <row r="496" spans="1:7" hidden="1" x14ac:dyDescent="0.25">
      <c r="A496">
        <v>1187636735</v>
      </c>
      <c r="B496" t="s">
        <v>21</v>
      </c>
      <c r="C496">
        <v>-2.44020830884801E-2</v>
      </c>
      <c r="D496">
        <v>-6.09076010925705</v>
      </c>
      <c r="E496" s="1" t="s">
        <v>518</v>
      </c>
      <c r="F496">
        <v>20</v>
      </c>
      <c r="G496" t="str">
        <f>VLOOKUP(A496,[1]inrix_key!$A:$C,3,FALSE)</f>
        <v>WB_E</v>
      </c>
    </row>
    <row r="497" spans="1:7" hidden="1" x14ac:dyDescent="0.25">
      <c r="A497">
        <v>1187636735</v>
      </c>
      <c r="B497" t="s">
        <v>25</v>
      </c>
      <c r="C497">
        <v>-2.7209050624298299E-2</v>
      </c>
      <c r="D497">
        <v>-6.1850798470892601</v>
      </c>
      <c r="E497" s="1" t="s">
        <v>519</v>
      </c>
      <c r="F497">
        <v>38</v>
      </c>
      <c r="G497" t="str">
        <f>VLOOKUP(A497,[1]inrix_key!$A:$C,3,FALSE)</f>
        <v>WB_E</v>
      </c>
    </row>
    <row r="498" spans="1:7" hidden="1" x14ac:dyDescent="0.25">
      <c r="A498">
        <v>1187654588</v>
      </c>
      <c r="B498" t="s">
        <v>6</v>
      </c>
      <c r="C498">
        <v>-3.3749999999999898E-2</v>
      </c>
      <c r="D498">
        <v>-1.50046317740798</v>
      </c>
      <c r="E498" s="1" t="s">
        <v>520</v>
      </c>
      <c r="F498">
        <v>20</v>
      </c>
      <c r="G498" t="str">
        <f>VLOOKUP(A498,[1]inrix_key!$A:$C,3,FALSE)</f>
        <v>Franklin_N</v>
      </c>
    </row>
    <row r="499" spans="1:7" hidden="1" x14ac:dyDescent="0.25">
      <c r="A499">
        <v>1187654588</v>
      </c>
      <c r="B499" t="s">
        <v>7</v>
      </c>
      <c r="C499">
        <v>3.8333333333333303E-2</v>
      </c>
      <c r="D499" s="1" t="s">
        <v>521</v>
      </c>
      <c r="E499">
        <v>0.38080152892477198</v>
      </c>
      <c r="F499">
        <v>7</v>
      </c>
      <c r="G499" t="str">
        <f>VLOOKUP(A499,[1]inrix_key!$A:$C,3,FALSE)</f>
        <v>Franklin_N</v>
      </c>
    </row>
    <row r="500" spans="1:7" hidden="1" x14ac:dyDescent="0.25">
      <c r="A500">
        <v>1187654588</v>
      </c>
      <c r="B500" t="s">
        <v>8</v>
      </c>
      <c r="C500">
        <v>9.3124999999999999E-2</v>
      </c>
      <c r="D500" s="1" t="s">
        <v>522</v>
      </c>
      <c r="E500" s="1" t="s">
        <v>523</v>
      </c>
      <c r="F500">
        <v>8</v>
      </c>
      <c r="G500" t="str">
        <f>VLOOKUP(A500,[1]inrix_key!$A:$C,3,FALSE)</f>
        <v>Franklin_N</v>
      </c>
    </row>
    <row r="501" spans="1:7" hidden="1" x14ac:dyDescent="0.25">
      <c r="A501">
        <v>1187654588</v>
      </c>
      <c r="B501" t="s">
        <v>10</v>
      </c>
      <c r="C501">
        <v>-6.2280701754385902E-2</v>
      </c>
      <c r="D501">
        <v>-3.74975157370524</v>
      </c>
      <c r="E501">
        <v>1.4667551827958699E-3</v>
      </c>
      <c r="F501">
        <v>19</v>
      </c>
      <c r="G501" t="str">
        <f>VLOOKUP(A501,[1]inrix_key!$A:$C,3,FALSE)</f>
        <v>Franklin_N</v>
      </c>
    </row>
    <row r="502" spans="1:7" hidden="1" x14ac:dyDescent="0.25">
      <c r="A502">
        <v>1187654588</v>
      </c>
      <c r="B502" t="s">
        <v>12</v>
      </c>
      <c r="C502">
        <v>-7.2846491228070201E-2</v>
      </c>
      <c r="D502">
        <v>-5.4224878506575802</v>
      </c>
      <c r="E502" s="1" t="s">
        <v>524</v>
      </c>
      <c r="F502">
        <v>38</v>
      </c>
      <c r="G502" t="str">
        <f>VLOOKUP(A502,[1]inrix_key!$A:$C,3,FALSE)</f>
        <v>Franklin_N</v>
      </c>
    </row>
    <row r="503" spans="1:7" hidden="1" x14ac:dyDescent="0.25">
      <c r="A503">
        <v>1187654588</v>
      </c>
      <c r="B503" t="s">
        <v>14</v>
      </c>
      <c r="C503">
        <v>-5.1466911764705803E-2</v>
      </c>
      <c r="D503">
        <v>-2.4882330148234701</v>
      </c>
      <c r="E503" s="1" t="s">
        <v>525</v>
      </c>
      <c r="F503">
        <v>20</v>
      </c>
      <c r="G503" t="str">
        <f>VLOOKUP(A503,[1]inrix_key!$A:$C,3,FALSE)</f>
        <v>Franklin_N</v>
      </c>
    </row>
    <row r="504" spans="1:7" hidden="1" x14ac:dyDescent="0.25">
      <c r="A504">
        <v>1187654588</v>
      </c>
      <c r="B504" t="s">
        <v>16</v>
      </c>
      <c r="C504">
        <v>-9.9614880952380899E-2</v>
      </c>
      <c r="D504">
        <v>-4.2702651377010303</v>
      </c>
      <c r="E504">
        <v>2.0795012981224201E-3</v>
      </c>
      <c r="F504">
        <v>10</v>
      </c>
      <c r="G504" t="str">
        <f>VLOOKUP(A504,[1]inrix_key!$A:$C,3,FALSE)</f>
        <v>Franklin_N</v>
      </c>
    </row>
    <row r="505" spans="1:7" hidden="1" x14ac:dyDescent="0.25">
      <c r="A505">
        <v>1187654588</v>
      </c>
      <c r="B505" t="s">
        <v>19</v>
      </c>
      <c r="C505">
        <v>5.44439338235293E-2</v>
      </c>
      <c r="D505" s="1" t="s">
        <v>526</v>
      </c>
      <c r="E505" s="1" t="s">
        <v>527</v>
      </c>
      <c r="F505">
        <v>8</v>
      </c>
      <c r="G505" t="str">
        <f>VLOOKUP(A505,[1]inrix_key!$A:$C,3,FALSE)</f>
        <v>Franklin_N</v>
      </c>
    </row>
    <row r="506" spans="1:7" hidden="1" x14ac:dyDescent="0.25">
      <c r="A506">
        <v>1187654588</v>
      </c>
      <c r="B506" t="s">
        <v>21</v>
      </c>
      <c r="C506">
        <v>-5.8972671568627399E-2</v>
      </c>
      <c r="D506">
        <v>-2.8599013286357602</v>
      </c>
      <c r="E506" s="1" t="s">
        <v>528</v>
      </c>
      <c r="F506">
        <v>20</v>
      </c>
      <c r="G506" t="str">
        <f>VLOOKUP(A506,[1]inrix_key!$A:$C,3,FALSE)</f>
        <v>Franklin_N</v>
      </c>
    </row>
    <row r="507" spans="1:7" hidden="1" x14ac:dyDescent="0.25">
      <c r="A507">
        <v>1187654588</v>
      </c>
      <c r="B507" t="s">
        <v>25</v>
      </c>
      <c r="C507">
        <v>-7.3505192863552005E-2</v>
      </c>
      <c r="D507">
        <v>-4.4205925803379298</v>
      </c>
      <c r="E507" s="1" t="s">
        <v>529</v>
      </c>
      <c r="F507">
        <v>38</v>
      </c>
      <c r="G507" t="str">
        <f>VLOOKUP(A507,[1]inrix_key!$A:$C,3,FALSE)</f>
        <v>Franklin_N</v>
      </c>
    </row>
    <row r="508" spans="1:7" hidden="1" x14ac:dyDescent="0.25">
      <c r="A508">
        <v>1187654609</v>
      </c>
      <c r="B508" t="s">
        <v>6</v>
      </c>
      <c r="C508">
        <v>-4.0624999999999897E-2</v>
      </c>
      <c r="D508">
        <v>-2.5098090651160501</v>
      </c>
      <c r="E508" s="1" t="s">
        <v>530</v>
      </c>
      <c r="F508">
        <v>20</v>
      </c>
      <c r="G508" t="str">
        <f>VLOOKUP(A508,[1]inrix_key!$A:$C,3,FALSE)</f>
        <v>Pine_N</v>
      </c>
    </row>
    <row r="509" spans="1:7" hidden="1" x14ac:dyDescent="0.25">
      <c r="A509">
        <v>1187654609</v>
      </c>
      <c r="B509" t="s">
        <v>7</v>
      </c>
      <c r="C509">
        <v>3.4166666666666602E-2</v>
      </c>
      <c r="D509" s="1" t="s">
        <v>531</v>
      </c>
      <c r="E509" s="1" t="s">
        <v>532</v>
      </c>
      <c r="F509">
        <v>7</v>
      </c>
      <c r="G509" t="str">
        <f>VLOOKUP(A509,[1]inrix_key!$A:$C,3,FALSE)</f>
        <v>Pine_N</v>
      </c>
    </row>
    <row r="510" spans="1:7" hidden="1" x14ac:dyDescent="0.25">
      <c r="A510">
        <v>1187654609</v>
      </c>
      <c r="B510" t="s">
        <v>8</v>
      </c>
      <c r="C510">
        <v>-9.5625000000000002E-2</v>
      </c>
      <c r="D510">
        <v>-5.1496931655177702</v>
      </c>
      <c r="E510">
        <v>1.3244572530579099E-3</v>
      </c>
      <c r="F510">
        <v>8</v>
      </c>
      <c r="G510" t="str">
        <f>VLOOKUP(A510,[1]inrix_key!$A:$C,3,FALSE)</f>
        <v>Pine_N</v>
      </c>
    </row>
    <row r="511" spans="1:7" hidden="1" x14ac:dyDescent="0.25">
      <c r="A511">
        <v>1187654609</v>
      </c>
      <c r="B511" t="s">
        <v>10</v>
      </c>
      <c r="C511">
        <v>2.41666666666666E-2</v>
      </c>
      <c r="D511" s="1" t="s">
        <v>533</v>
      </c>
      <c r="E511" s="1" t="s">
        <v>534</v>
      </c>
      <c r="F511">
        <v>19</v>
      </c>
      <c r="G511" t="str">
        <f>VLOOKUP(A511,[1]inrix_key!$A:$C,3,FALSE)</f>
        <v>Pine_N</v>
      </c>
    </row>
    <row r="512" spans="1:7" hidden="1" x14ac:dyDescent="0.25">
      <c r="A512">
        <v>1187654609</v>
      </c>
      <c r="B512" t="s">
        <v>12</v>
      </c>
      <c r="C512">
        <v>-2.5070175438596399E-2</v>
      </c>
      <c r="D512">
        <v>-1.91261828109206</v>
      </c>
      <c r="E512">
        <v>6.35615277892395E-2</v>
      </c>
      <c r="F512">
        <v>38</v>
      </c>
      <c r="G512" t="str">
        <f>VLOOKUP(A512,[1]inrix_key!$A:$C,3,FALSE)</f>
        <v>Pine_N</v>
      </c>
    </row>
    <row r="513" spans="1:7" hidden="1" x14ac:dyDescent="0.25">
      <c r="A513">
        <v>1187654609</v>
      </c>
      <c r="B513" t="s">
        <v>14</v>
      </c>
      <c r="C513">
        <v>-5.4647058823529403E-2</v>
      </c>
      <c r="D513">
        <v>-3.8207527666412999</v>
      </c>
      <c r="E513">
        <v>1.1538001553897501E-3</v>
      </c>
      <c r="F513">
        <v>20</v>
      </c>
      <c r="G513" t="str">
        <f>VLOOKUP(A513,[1]inrix_key!$A:$C,3,FALSE)</f>
        <v>Pine_N</v>
      </c>
    </row>
    <row r="514" spans="1:7" hidden="1" x14ac:dyDescent="0.25">
      <c r="A514">
        <v>1187654609</v>
      </c>
      <c r="B514" t="s">
        <v>16</v>
      </c>
      <c r="C514">
        <v>-8.9410119047619002E-2</v>
      </c>
      <c r="D514">
        <v>-4.3573147391843898</v>
      </c>
      <c r="E514">
        <v>1.83061799596594E-3</v>
      </c>
      <c r="F514">
        <v>10</v>
      </c>
      <c r="G514" t="str">
        <f>VLOOKUP(A514,[1]inrix_key!$A:$C,3,FALSE)</f>
        <v>Pine_N</v>
      </c>
    </row>
    <row r="515" spans="1:7" hidden="1" x14ac:dyDescent="0.25">
      <c r="A515">
        <v>1187654609</v>
      </c>
      <c r="B515" t="s">
        <v>19</v>
      </c>
      <c r="C515">
        <v>-0.133157169117647</v>
      </c>
      <c r="D515">
        <v>-9.2155498590180596</v>
      </c>
      <c r="E515" s="1" t="s">
        <v>535</v>
      </c>
      <c r="F515">
        <v>8</v>
      </c>
      <c r="G515" t="str">
        <f>VLOOKUP(A515,[1]inrix_key!$A:$C,3,FALSE)</f>
        <v>Pine_N</v>
      </c>
    </row>
    <row r="516" spans="1:7" hidden="1" x14ac:dyDescent="0.25">
      <c r="A516">
        <v>1187654609</v>
      </c>
      <c r="B516" t="s">
        <v>21</v>
      </c>
      <c r="C516">
        <v>-1.6307773109245301E-4</v>
      </c>
      <c r="D516">
        <v>-1.0588775573303601E-2</v>
      </c>
      <c r="E516" s="1" t="s">
        <v>536</v>
      </c>
      <c r="F516">
        <v>20</v>
      </c>
      <c r="G516" t="str">
        <f>VLOOKUP(A516,[1]inrix_key!$A:$C,3,FALSE)</f>
        <v>Pine_N</v>
      </c>
    </row>
    <row r="517" spans="1:7" hidden="1" x14ac:dyDescent="0.25">
      <c r="A517">
        <v>1187654609</v>
      </c>
      <c r="B517" t="s">
        <v>25</v>
      </c>
      <c r="C517">
        <v>-3.9174349622685498E-2</v>
      </c>
      <c r="D517">
        <v>-5.8713866724139701</v>
      </c>
      <c r="E517" s="1" t="s">
        <v>537</v>
      </c>
      <c r="F517">
        <v>38</v>
      </c>
      <c r="G517" t="str">
        <f>VLOOKUP(A517,[1]inrix_key!$A:$C,3,FALSE)</f>
        <v>Pine_N</v>
      </c>
    </row>
  </sheetData>
  <autoFilter ref="A1:G517" xr:uid="{456E137E-F06E-42B2-93C0-FF769F86DEA7}">
    <filterColumn colId="4">
      <filters>
        <filter val="0.000241967"/>
        <filter val="0.000344673"/>
        <filter val="0.001810699"/>
        <filter val="0.002674009"/>
        <filter val="0.0037834"/>
        <filter val="0.005505268"/>
        <filter val="0.005895921"/>
        <filter val="0.00930863"/>
        <filter val="0.00999521"/>
        <filter val="0.013889739"/>
        <filter val="0.018074938"/>
        <filter val="0.022291892"/>
        <filter val="0.032285635"/>
        <filter val="0.033359752"/>
        <filter val="0.036315185"/>
      </filters>
    </filterColumn>
    <filterColumn colId="6">
      <filters>
        <filter val="Chinden_E"/>
        <filter val="Chinden_N"/>
        <filter val="Chinden_S"/>
        <filter val="Chinden_W"/>
      </filters>
    </filterColumn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t-test-jun23-jun25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Regan Hansen</cp:lastModifiedBy>
  <dcterms:created xsi:type="dcterms:W3CDTF">2025-09-27T05:06:05Z</dcterms:created>
  <dcterms:modified xsi:type="dcterms:W3CDTF">2025-09-27T05:06:05Z</dcterms:modified>
</cp:coreProperties>
</file>